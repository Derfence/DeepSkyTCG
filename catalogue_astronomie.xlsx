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rfence\Documents\Gatcha\client-android-standalone\"/>
    </mc:Choice>
  </mc:AlternateContent>
  <xr:revisionPtr revIDLastSave="0" documentId="13_ncr:1_{C5625448-81B1-4631-A571-07EEC1ED1E4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atalogue" sheetId="1" r:id="rId1"/>
    <sheet name="Equipements" sheetId="4" r:id="rId2"/>
    <sheet name="Donnees" sheetId="2" r:id="rId3"/>
    <sheet name="Resultats" sheetId="3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/>
  <c r="E7" i="3" s="1"/>
  <c r="D14" i="3"/>
  <c r="D15" i="3"/>
  <c r="D16" i="3"/>
  <c r="E14" i="2"/>
  <c r="D13" i="3" s="1"/>
  <c r="D4" i="2"/>
  <c r="B12" i="2" s="1"/>
  <c r="E4" i="3"/>
  <c r="E5" i="3"/>
  <c r="E6" i="3"/>
  <c r="B14" i="3" a="1"/>
  <c r="B14" i="3" s="1"/>
  <c r="B15" i="3" a="1"/>
  <c r="B15" i="3" s="1"/>
  <c r="B16" i="3" a="1"/>
  <c r="B16" i="3" s="1"/>
  <c r="B13" i="3" a="1"/>
  <c r="B13" i="3" s="1"/>
  <c r="B6" i="2" l="1"/>
  <c r="E3" i="3" s="1"/>
  <c r="F3" i="3" s="1"/>
  <c r="G3" i="3" s="1"/>
  <c r="H3" i="3" s="1"/>
  <c r="E16" i="3"/>
  <c r="E15" i="3"/>
  <c r="E14" i="3"/>
  <c r="E13" i="3"/>
  <c r="B17" i="2"/>
  <c r="H17" i="2" s="1"/>
  <c r="B16" i="2"/>
  <c r="H16" i="2" s="1"/>
  <c r="B15" i="2"/>
  <c r="H15" i="2" s="1"/>
  <c r="B14" i="2"/>
  <c r="E9" i="3"/>
  <c r="F7" i="3" l="1"/>
  <c r="B11" i="2"/>
  <c r="H14" i="2" s="1"/>
  <c r="F5" i="3"/>
  <c r="G5" i="3" s="1"/>
  <c r="H5" i="3" s="1"/>
  <c r="F6" i="3"/>
  <c r="G6" i="3" s="1"/>
  <c r="H6" i="3" s="1"/>
  <c r="F4" i="3"/>
  <c r="G4" i="3" s="1"/>
  <c r="H4" i="3" s="1"/>
  <c r="G7" i="3" l="1"/>
  <c r="H7" i="3" s="1"/>
  <c r="E8" i="3"/>
  <c r="C16" i="3" a="1"/>
  <c r="C16" i="3" s="1"/>
  <c r="C15" i="3" a="1"/>
  <c r="C15" i="3" s="1"/>
  <c r="C14" i="3" l="1" a="1"/>
  <c r="C14" i="3" s="1"/>
  <c r="F8" i="3"/>
  <c r="F9" i="3"/>
  <c r="C13" i="3" a="1"/>
  <c r="C13" i="3" s="1"/>
  <c r="G9" i="3" l="1"/>
  <c r="H9" i="3" s="1"/>
  <c r="G8" i="3"/>
  <c r="H8" i="3" s="1"/>
  <c r="F13" i="3"/>
  <c r="F14" i="3" l="1"/>
  <c r="F15" i="3"/>
  <c r="F16" i="3"/>
  <c r="E63" i="3"/>
  <c r="E60" i="3"/>
  <c r="G60" i="3" s="1"/>
  <c r="E50" i="3"/>
  <c r="G50" i="3" s="1"/>
  <c r="E21" i="3"/>
  <c r="G21" i="3" s="1"/>
  <c r="E44" i="3"/>
  <c r="G44" i="3" s="1"/>
  <c r="E37" i="3"/>
  <c r="G37" i="3" s="1"/>
  <c r="E66" i="3"/>
  <c r="G66" i="3" s="1"/>
  <c r="E34" i="3"/>
  <c r="G34" i="3" s="1"/>
  <c r="E67" i="3"/>
  <c r="G67" i="3" s="1"/>
  <c r="E52" i="3"/>
  <c r="G52" i="3" s="1"/>
  <c r="E53" i="3"/>
  <c r="G53" i="3" s="1"/>
  <c r="E32" i="3"/>
  <c r="G32" i="3" s="1"/>
  <c r="E20" i="3"/>
  <c r="G20" i="3" s="1"/>
  <c r="E27" i="3"/>
  <c r="G27" i="3" s="1"/>
  <c r="E29" i="3"/>
  <c r="G29" i="3" s="1"/>
  <c r="E45" i="3"/>
  <c r="G45" i="3" s="1"/>
  <c r="E69" i="3"/>
  <c r="G69" i="3" s="1"/>
  <c r="E68" i="3"/>
  <c r="G68" i="3" s="1"/>
  <c r="E33" i="3"/>
  <c r="G33" i="3" s="1"/>
  <c r="E23" i="3"/>
  <c r="G23" i="3" s="1"/>
  <c r="E39" i="3"/>
  <c r="G39" i="3" s="1"/>
  <c r="E62" i="3"/>
  <c r="G62" i="3" s="1"/>
  <c r="E54" i="3"/>
  <c r="G54" i="3" s="1"/>
  <c r="E24" i="3"/>
  <c r="G24" i="3" s="1"/>
  <c r="E51" i="3"/>
  <c r="G51" i="3" s="1"/>
  <c r="E65" i="3"/>
  <c r="G65" i="3" s="1"/>
  <c r="E25" i="3"/>
  <c r="G25" i="3" s="1"/>
  <c r="E28" i="3"/>
  <c r="G28" i="3" s="1"/>
  <c r="E64" i="3"/>
  <c r="G64" i="3" s="1"/>
  <c r="E47" i="3"/>
  <c r="G47" i="3" s="1"/>
  <c r="E36" i="3" l="1"/>
  <c r="G36" i="3" s="1"/>
  <c r="H36" i="3" s="1"/>
  <c r="E43" i="3"/>
  <c r="G43" i="3" s="1"/>
  <c r="H43" i="3" s="1"/>
  <c r="E31" i="3"/>
  <c r="G31" i="3" s="1"/>
  <c r="H31" i="3" s="1"/>
  <c r="E42" i="3"/>
  <c r="G42" i="3" s="1"/>
  <c r="H42" i="3" s="1"/>
  <c r="E26" i="3"/>
  <c r="G26" i="3" s="1"/>
  <c r="H26" i="3" s="1"/>
  <c r="E56" i="3"/>
  <c r="G56" i="3" s="1"/>
  <c r="H56" i="3" s="1"/>
  <c r="E61" i="3"/>
  <c r="G61" i="3" s="1"/>
  <c r="H61" i="3" s="1"/>
  <c r="E59" i="3"/>
  <c r="G59" i="3" s="1"/>
  <c r="H59" i="3" s="1"/>
  <c r="E48" i="3"/>
  <c r="G48" i="3" s="1"/>
  <c r="H48" i="3" s="1"/>
  <c r="E41" i="3"/>
  <c r="G41" i="3" s="1"/>
  <c r="H41" i="3" s="1"/>
  <c r="E30" i="3"/>
  <c r="G30" i="3" s="1"/>
  <c r="H30" i="3" s="1"/>
  <c r="E58" i="3"/>
  <c r="G58" i="3" s="1"/>
  <c r="H58" i="3" s="1"/>
  <c r="E46" i="3"/>
  <c r="G46" i="3" s="1"/>
  <c r="H46" i="3" s="1"/>
  <c r="E40" i="3"/>
  <c r="G40" i="3" s="1"/>
  <c r="H40" i="3" s="1"/>
  <c r="E55" i="3"/>
  <c r="G55" i="3" s="1"/>
  <c r="H55" i="3" s="1"/>
  <c r="E38" i="3"/>
  <c r="G38" i="3" s="1"/>
  <c r="H38" i="3" s="1"/>
  <c r="E49" i="3"/>
  <c r="G49" i="3" s="1"/>
  <c r="H49" i="3" s="1"/>
  <c r="E57" i="3"/>
  <c r="G57" i="3" s="1"/>
  <c r="H57" i="3" s="1"/>
  <c r="E22" i="3"/>
  <c r="G22" i="3" s="1"/>
  <c r="H22" i="3" s="1"/>
  <c r="E35" i="3"/>
  <c r="G35" i="3" s="1"/>
  <c r="H35" i="3" s="1"/>
  <c r="G63" i="3"/>
  <c r="H63" i="3" s="1"/>
  <c r="H28" i="3"/>
  <c r="H20" i="3"/>
  <c r="H44" i="3"/>
  <c r="H25" i="3"/>
  <c r="H67" i="3"/>
  <c r="H50" i="3"/>
  <c r="H37" i="3"/>
  <c r="H52" i="3"/>
  <c r="H60" i="3"/>
  <c r="H51" i="3"/>
  <c r="H39" i="3"/>
  <c r="H23" i="3"/>
  <c r="H33" i="3"/>
  <c r="H66" i="3"/>
  <c r="H65" i="3"/>
  <c r="H62" i="3"/>
  <c r="H69" i="3"/>
  <c r="H53" i="3"/>
  <c r="H34" i="3"/>
  <c r="H45" i="3"/>
  <c r="H21" i="3"/>
  <c r="H24" i="3"/>
  <c r="H47" i="3"/>
  <c r="H29" i="3"/>
  <c r="H32" i="3"/>
  <c r="H54" i="3"/>
  <c r="H68" i="3"/>
  <c r="H64" i="3"/>
  <c r="H27" i="3"/>
  <c r="E70" i="3" l="1"/>
  <c r="F63" i="3" s="1"/>
  <c r="Q63" i="3" l="1"/>
  <c r="R63" i="3"/>
  <c r="I63" i="3"/>
  <c r="F21" i="3"/>
  <c r="F53" i="3"/>
  <c r="N53" i="3" s="1"/>
  <c r="F27" i="3"/>
  <c r="J27" i="3" s="1"/>
  <c r="F22" i="3"/>
  <c r="F41" i="3"/>
  <c r="F23" i="3"/>
  <c r="F57" i="3"/>
  <c r="F44" i="3"/>
  <c r="F34" i="3"/>
  <c r="F32" i="3"/>
  <c r="P63" i="3"/>
  <c r="F36" i="3"/>
  <c r="F49" i="3"/>
  <c r="F54" i="3"/>
  <c r="F45" i="3"/>
  <c r="F68" i="3"/>
  <c r="F25" i="3"/>
  <c r="F43" i="3"/>
  <c r="K43" i="3" s="1"/>
  <c r="F40" i="3"/>
  <c r="F46" i="3"/>
  <c r="F31" i="3"/>
  <c r="F64" i="3"/>
  <c r="F60" i="3"/>
  <c r="F51" i="3"/>
  <c r="F59" i="3"/>
  <c r="F47" i="3"/>
  <c r="M63" i="3"/>
  <c r="F30" i="3"/>
  <c r="L63" i="3"/>
  <c r="F55" i="3"/>
  <c r="F33" i="3"/>
  <c r="J63" i="3"/>
  <c r="F38" i="3"/>
  <c r="F50" i="3"/>
  <c r="F20" i="3"/>
  <c r="F24" i="3"/>
  <c r="F61" i="3"/>
  <c r="F37" i="3"/>
  <c r="F67" i="3"/>
  <c r="F66" i="3"/>
  <c r="F65" i="3"/>
  <c r="O63" i="3"/>
  <c r="F26" i="3"/>
  <c r="N63" i="3"/>
  <c r="F29" i="3"/>
  <c r="F58" i="3"/>
  <c r="F35" i="3"/>
  <c r="F62" i="3"/>
  <c r="F28" i="3"/>
  <c r="F69" i="3"/>
  <c r="K63" i="3"/>
  <c r="F56" i="3"/>
  <c r="F48" i="3"/>
  <c r="F52" i="3"/>
  <c r="F42" i="3"/>
  <c r="F39" i="3"/>
  <c r="I22" i="3"/>
  <c r="M22" i="3"/>
  <c r="O22" i="3"/>
  <c r="N22" i="3"/>
  <c r="J22" i="3"/>
  <c r="P27" i="3" l="1"/>
  <c r="O27" i="3"/>
  <c r="P43" i="3"/>
  <c r="N43" i="3"/>
  <c r="P53" i="3"/>
  <c r="Q47" i="3"/>
  <c r="R47" i="3"/>
  <c r="Q29" i="3"/>
  <c r="R29" i="3"/>
  <c r="Q51" i="3"/>
  <c r="R51" i="3"/>
  <c r="Q60" i="3"/>
  <c r="R60" i="3"/>
  <c r="Q23" i="3"/>
  <c r="R23" i="3"/>
  <c r="R27" i="3"/>
  <c r="Q27" i="3"/>
  <c r="Q59" i="3"/>
  <c r="R59" i="3"/>
  <c r="Q41" i="3"/>
  <c r="R41" i="3"/>
  <c r="R24" i="3"/>
  <c r="Q24" i="3"/>
  <c r="Q69" i="3"/>
  <c r="R69" i="3"/>
  <c r="K53" i="3"/>
  <c r="Q53" i="3"/>
  <c r="R53" i="3"/>
  <c r="R67" i="3"/>
  <c r="Q67" i="3"/>
  <c r="Q64" i="3"/>
  <c r="R64" i="3"/>
  <c r="Q40" i="3"/>
  <c r="R40" i="3"/>
  <c r="Q28" i="3"/>
  <c r="R28" i="3"/>
  <c r="Q21" i="3"/>
  <c r="R21" i="3"/>
  <c r="Q36" i="3"/>
  <c r="R36" i="3"/>
  <c r="R34" i="3"/>
  <c r="Q34" i="3"/>
  <c r="Q39" i="3"/>
  <c r="R39" i="3"/>
  <c r="R66" i="3"/>
  <c r="Q66" i="3"/>
  <c r="Q57" i="3"/>
  <c r="R57" i="3"/>
  <c r="Q37" i="3"/>
  <c r="R37" i="3"/>
  <c r="Q48" i="3"/>
  <c r="R48" i="3"/>
  <c r="Q31" i="3"/>
  <c r="R31" i="3"/>
  <c r="Q56" i="3"/>
  <c r="R56" i="3"/>
  <c r="L22" i="3"/>
  <c r="Q22" i="3"/>
  <c r="R22" i="3"/>
  <c r="L53" i="3"/>
  <c r="Q68" i="3"/>
  <c r="R68" i="3"/>
  <c r="Q65" i="3"/>
  <c r="R65" i="3"/>
  <c r="Q46" i="3"/>
  <c r="R46" i="3"/>
  <c r="Q50" i="3"/>
  <c r="R50" i="3"/>
  <c r="M53" i="3"/>
  <c r="Q38" i="3"/>
  <c r="R38" i="3"/>
  <c r="Q25" i="3"/>
  <c r="R25" i="3"/>
  <c r="Q62" i="3"/>
  <c r="R62" i="3"/>
  <c r="R35" i="3"/>
  <c r="Q35" i="3"/>
  <c r="Q33" i="3"/>
  <c r="R33" i="3"/>
  <c r="Q45" i="3"/>
  <c r="R45" i="3"/>
  <c r="Q49" i="3"/>
  <c r="R49" i="3"/>
  <c r="R30" i="3"/>
  <c r="Q30" i="3"/>
  <c r="Q26" i="3"/>
  <c r="R26" i="3"/>
  <c r="R32" i="3"/>
  <c r="Q32" i="3"/>
  <c r="Q44" i="3"/>
  <c r="R44" i="3"/>
  <c r="Q42" i="3"/>
  <c r="R42" i="3"/>
  <c r="R52" i="3"/>
  <c r="Q52" i="3"/>
  <c r="Q61" i="3"/>
  <c r="R61" i="3"/>
  <c r="R43" i="3"/>
  <c r="Q43" i="3"/>
  <c r="J53" i="3"/>
  <c r="I53" i="3"/>
  <c r="R58" i="3"/>
  <c r="Q58" i="3"/>
  <c r="Q55" i="3"/>
  <c r="R55" i="3"/>
  <c r="R54" i="3"/>
  <c r="Q54" i="3"/>
  <c r="I49" i="3"/>
  <c r="J26" i="3"/>
  <c r="I29" i="3"/>
  <c r="I30" i="3"/>
  <c r="N34" i="3"/>
  <c r="J66" i="3"/>
  <c r="I42" i="3"/>
  <c r="I47" i="3"/>
  <c r="I36" i="3"/>
  <c r="I32" i="3"/>
  <c r="J65" i="3"/>
  <c r="J51" i="3"/>
  <c r="J23" i="3"/>
  <c r="J48" i="3"/>
  <c r="O46" i="3"/>
  <c r="J38" i="3"/>
  <c r="J25" i="3"/>
  <c r="J21" i="3"/>
  <c r="M44" i="3"/>
  <c r="K57" i="3"/>
  <c r="M37" i="3"/>
  <c r="K50" i="3"/>
  <c r="O53" i="3"/>
  <c r="P62" i="3"/>
  <c r="O68" i="3"/>
  <c r="J39" i="3"/>
  <c r="K67" i="3"/>
  <c r="J31" i="3"/>
  <c r="I27" i="3"/>
  <c r="I43" i="3"/>
  <c r="J28" i="3"/>
  <c r="I38" i="3"/>
  <c r="M35" i="3"/>
  <c r="M33" i="3"/>
  <c r="N45" i="3"/>
  <c r="J59" i="3"/>
  <c r="L60" i="3"/>
  <c r="M52" i="3"/>
  <c r="N64" i="3"/>
  <c r="I61" i="3"/>
  <c r="K41" i="3"/>
  <c r="O56" i="3"/>
  <c r="K24" i="3"/>
  <c r="P22" i="3"/>
  <c r="J40" i="3"/>
  <c r="O69" i="3"/>
  <c r="P28" i="3"/>
  <c r="K22" i="3"/>
  <c r="I58" i="3"/>
  <c r="I55" i="3"/>
  <c r="K54" i="3"/>
  <c r="Q20" i="3"/>
  <c r="R20" i="3"/>
  <c r="P20" i="3"/>
  <c r="P50" i="3"/>
  <c r="M69" i="3"/>
  <c r="I20" i="3"/>
  <c r="M20" i="3"/>
  <c r="O20" i="3"/>
  <c r="N20" i="3"/>
  <c r="I21" i="3"/>
  <c r="P69" i="3"/>
  <c r="O50" i="3"/>
  <c r="L69" i="3"/>
  <c r="L50" i="3"/>
  <c r="N27" i="3"/>
  <c r="M27" i="3"/>
  <c r="L27" i="3"/>
  <c r="K27" i="3"/>
  <c r="J50" i="3"/>
  <c r="I50" i="3"/>
  <c r="O43" i="3"/>
  <c r="M50" i="3"/>
  <c r="K56" i="3"/>
  <c r="M43" i="3"/>
  <c r="N56" i="3"/>
  <c r="M56" i="3"/>
  <c r="P56" i="3"/>
  <c r="I56" i="3"/>
  <c r="J56" i="3"/>
  <c r="N69" i="3"/>
  <c r="L43" i="3"/>
  <c r="N50" i="3"/>
  <c r="K69" i="3"/>
  <c r="J43" i="3"/>
  <c r="J69" i="3"/>
  <c r="K20" i="3"/>
  <c r="J20" i="3"/>
  <c r="I69" i="3"/>
  <c r="L20" i="3"/>
  <c r="O24" i="3"/>
  <c r="N41" i="3"/>
  <c r="I60" i="3"/>
  <c r="I48" i="3"/>
  <c r="M60" i="3"/>
  <c r="P31" i="3"/>
  <c r="O31" i="3"/>
  <c r="M31" i="3"/>
  <c r="L56" i="3"/>
  <c r="K46" i="3"/>
  <c r="P40" i="3"/>
  <c r="P46" i="3"/>
  <c r="I66" i="3"/>
  <c r="N46" i="3"/>
  <c r="J46" i="3"/>
  <c r="L40" i="3"/>
  <c r="N42" i="3"/>
  <c r="P52" i="3"/>
  <c r="K52" i="3"/>
  <c r="I52" i="3"/>
  <c r="N60" i="3"/>
  <c r="K40" i="3"/>
  <c r="I37" i="3"/>
  <c r="O40" i="3"/>
  <c r="P57" i="3"/>
  <c r="N40" i="3"/>
  <c r="I57" i="3"/>
  <c r="O64" i="3"/>
  <c r="L64" i="3"/>
  <c r="J57" i="3"/>
  <c r="L34" i="3"/>
  <c r="M24" i="3"/>
  <c r="M32" i="3"/>
  <c r="N32" i="3"/>
  <c r="P60" i="3"/>
  <c r="K60" i="3"/>
  <c r="J24" i="3"/>
  <c r="P48" i="3"/>
  <c r="J60" i="3"/>
  <c r="P24" i="3"/>
  <c r="I40" i="3"/>
  <c r="L42" i="3"/>
  <c r="P39" i="3"/>
  <c r="P23" i="3"/>
  <c r="K37" i="3"/>
  <c r="O23" i="3"/>
  <c r="O60" i="3"/>
  <c r="M42" i="3"/>
  <c r="L37" i="3"/>
  <c r="K42" i="3"/>
  <c r="P42" i="3"/>
  <c r="J37" i="3"/>
  <c r="P41" i="3"/>
  <c r="N52" i="3"/>
  <c r="N23" i="3"/>
  <c r="N48" i="3"/>
  <c r="O48" i="3"/>
  <c r="O57" i="3"/>
  <c r="M23" i="3"/>
  <c r="M48" i="3"/>
  <c r="N57" i="3"/>
  <c r="L23" i="3"/>
  <c r="N67" i="3"/>
  <c r="J64" i="3"/>
  <c r="O52" i="3"/>
  <c r="J67" i="3"/>
  <c r="M64" i="3"/>
  <c r="I23" i="3"/>
  <c r="L52" i="3"/>
  <c r="I67" i="3"/>
  <c r="I64" i="3"/>
  <c r="P37" i="3"/>
  <c r="K64" i="3"/>
  <c r="L48" i="3"/>
  <c r="O37" i="3"/>
  <c r="O32" i="3"/>
  <c r="I41" i="3"/>
  <c r="M40" i="3"/>
  <c r="O44" i="3"/>
  <c r="N44" i="3"/>
  <c r="P47" i="3"/>
  <c r="O47" i="3"/>
  <c r="N47" i="3"/>
  <c r="J52" i="3"/>
  <c r="P67" i="3"/>
  <c r="M47" i="3"/>
  <c r="O67" i="3"/>
  <c r="K51" i="3"/>
  <c r="I24" i="3"/>
  <c r="K66" i="3"/>
  <c r="O35" i="3"/>
  <c r="P29" i="3"/>
  <c r="M51" i="3"/>
  <c r="N31" i="3"/>
  <c r="O29" i="3"/>
  <c r="O36" i="3"/>
  <c r="I51" i="3"/>
  <c r="L44" i="3"/>
  <c r="O41" i="3"/>
  <c r="L31" i="3"/>
  <c r="P61" i="3"/>
  <c r="O58" i="3"/>
  <c r="M34" i="3"/>
  <c r="O61" i="3"/>
  <c r="M26" i="3"/>
  <c r="N26" i="3"/>
  <c r="N37" i="3"/>
  <c r="P64" i="3"/>
  <c r="J44" i="3"/>
  <c r="M41" i="3"/>
  <c r="M46" i="3"/>
  <c r="N61" i="3"/>
  <c r="I44" i="3"/>
  <c r="I31" i="3"/>
  <c r="L24" i="3"/>
  <c r="J41" i="3"/>
  <c r="L46" i="3"/>
  <c r="M61" i="3"/>
  <c r="N29" i="3"/>
  <c r="I54" i="3"/>
  <c r="K47" i="3"/>
  <c r="M68" i="3"/>
  <c r="K29" i="3"/>
  <c r="L47" i="3"/>
  <c r="N36" i="3"/>
  <c r="J47" i="3"/>
  <c r="P55" i="3"/>
  <c r="L30" i="3"/>
  <c r="K49" i="3"/>
  <c r="P44" i="3"/>
  <c r="O49" i="3"/>
  <c r="O45" i="3"/>
  <c r="P59" i="3"/>
  <c r="L32" i="3"/>
  <c r="P65" i="3"/>
  <c r="P49" i="3"/>
  <c r="I39" i="3"/>
  <c r="M36" i="3"/>
  <c r="I59" i="3"/>
  <c r="K32" i="3"/>
  <c r="I65" i="3"/>
  <c r="L61" i="3"/>
  <c r="O62" i="3"/>
  <c r="P33" i="3"/>
  <c r="P32" i="3"/>
  <c r="K61" i="3"/>
  <c r="O55" i="3"/>
  <c r="N49" i="3"/>
  <c r="N30" i="3"/>
  <c r="P36" i="3"/>
  <c r="P45" i="3"/>
  <c r="O33" i="3"/>
  <c r="K30" i="3"/>
  <c r="M30" i="3"/>
  <c r="P26" i="3"/>
  <c r="M67" i="3"/>
  <c r="M57" i="3"/>
  <c r="P51" i="3"/>
  <c r="N66" i="3"/>
  <c r="O42" i="3"/>
  <c r="K48" i="3"/>
  <c r="J30" i="3"/>
  <c r="L26" i="3"/>
  <c r="L67" i="3"/>
  <c r="L57" i="3"/>
  <c r="O51" i="3"/>
  <c r="J32" i="3"/>
  <c r="N24" i="3"/>
  <c r="L41" i="3"/>
  <c r="M66" i="3"/>
  <c r="I46" i="3"/>
  <c r="J61" i="3"/>
  <c r="M29" i="3"/>
  <c r="N55" i="3"/>
  <c r="L36" i="3"/>
  <c r="M49" i="3"/>
  <c r="J36" i="3"/>
  <c r="J42" i="3"/>
  <c r="P30" i="3"/>
  <c r="P35" i="3"/>
  <c r="O26" i="3"/>
  <c r="N51" i="3"/>
  <c r="P66" i="3"/>
  <c r="L33" i="3"/>
  <c r="L55" i="3"/>
  <c r="I62" i="3"/>
  <c r="L35" i="3"/>
  <c r="L29" i="3"/>
  <c r="K26" i="3"/>
  <c r="L45" i="3"/>
  <c r="L49" i="3"/>
  <c r="L51" i="3"/>
  <c r="K44" i="3"/>
  <c r="P68" i="3"/>
  <c r="O66" i="3"/>
  <c r="I25" i="3"/>
  <c r="M45" i="3"/>
  <c r="J68" i="3"/>
  <c r="K55" i="3"/>
  <c r="J33" i="3"/>
  <c r="J55" i="3"/>
  <c r="J62" i="3"/>
  <c r="J35" i="3"/>
  <c r="J29" i="3"/>
  <c r="I26" i="3"/>
  <c r="J45" i="3"/>
  <c r="J49" i="3"/>
  <c r="I68" i="3"/>
  <c r="L66" i="3"/>
  <c r="L62" i="3"/>
  <c r="K33" i="3"/>
  <c r="I45" i="3"/>
  <c r="L68" i="3"/>
  <c r="N35" i="3"/>
  <c r="N68" i="3"/>
  <c r="M55" i="3"/>
  <c r="K35" i="3"/>
  <c r="K68" i="3"/>
  <c r="P25" i="3"/>
  <c r="O39" i="3"/>
  <c r="O21" i="3"/>
  <c r="O54" i="3"/>
  <c r="O59" i="3"/>
  <c r="O34" i="3"/>
  <c r="P38" i="3"/>
  <c r="O65" i="3"/>
  <c r="O25" i="3"/>
  <c r="I35" i="3"/>
  <c r="N39" i="3"/>
  <c r="K28" i="3"/>
  <c r="K58" i="3"/>
  <c r="N21" i="3"/>
  <c r="M54" i="3"/>
  <c r="N59" i="3"/>
  <c r="K34" i="3"/>
  <c r="N38" i="3"/>
  <c r="N65" i="3"/>
  <c r="N25" i="3"/>
  <c r="N62" i="3"/>
  <c r="I33" i="3"/>
  <c r="L28" i="3"/>
  <c r="M39" i="3"/>
  <c r="L58" i="3"/>
  <c r="M21" i="3"/>
  <c r="P54" i="3"/>
  <c r="M59" i="3"/>
  <c r="P34" i="3"/>
  <c r="M38" i="3"/>
  <c r="M65" i="3"/>
  <c r="M25" i="3"/>
  <c r="F70" i="3"/>
  <c r="O28" i="3"/>
  <c r="M58" i="3"/>
  <c r="L54" i="3"/>
  <c r="P58" i="3"/>
  <c r="I28" i="3"/>
  <c r="N58" i="3"/>
  <c r="L21" i="3"/>
  <c r="N54" i="3"/>
  <c r="L59" i="3"/>
  <c r="I34" i="3"/>
  <c r="O38" i="3"/>
  <c r="L65" i="3"/>
  <c r="L25" i="3"/>
  <c r="N33" i="3"/>
  <c r="K45" i="3"/>
  <c r="L38" i="3"/>
  <c r="K39" i="3"/>
  <c r="M28" i="3"/>
  <c r="O30" i="3"/>
  <c r="J58" i="3"/>
  <c r="K36" i="3"/>
  <c r="K21" i="3"/>
  <c r="J54" i="3"/>
  <c r="K59" i="3"/>
  <c r="J34" i="3"/>
  <c r="K23" i="3"/>
  <c r="K38" i="3"/>
  <c r="K65" i="3"/>
  <c r="K31" i="3"/>
  <c r="K25" i="3"/>
  <c r="M62" i="3"/>
  <c r="K62" i="3"/>
  <c r="P21" i="3"/>
  <c r="N28" i="3"/>
  <c r="L39" i="3"/>
  <c r="M72" i="3" l="1" a="1"/>
  <c r="M72" i="3" s="1"/>
  <c r="O71" i="3" a="1"/>
  <c r="O71" i="3" s="1"/>
  <c r="P72" i="3" a="1"/>
  <c r="P72" i="3" s="1"/>
  <c r="N72" i="3" a="1"/>
  <c r="N72" i="3" s="1"/>
  <c r="I72" i="3" a="1"/>
  <c r="I72" i="3" s="1"/>
  <c r="N71" i="3" a="1"/>
  <c r="N71" i="3" s="1"/>
  <c r="P71" i="3" a="1"/>
  <c r="P71" i="3" s="1"/>
  <c r="L72" i="3" a="1"/>
  <c r="L72" i="3" s="1"/>
  <c r="L71" i="3" a="1"/>
  <c r="L71" i="3" s="1"/>
  <c r="O72" i="3" a="1"/>
  <c r="O72" i="3" s="1"/>
  <c r="J71" i="3" a="1"/>
  <c r="J71" i="3" s="1"/>
  <c r="J72" i="3" a="1"/>
  <c r="J72" i="3" s="1"/>
  <c r="M71" i="3" a="1"/>
  <c r="M71" i="3" s="1"/>
  <c r="K72" i="3" a="1"/>
  <c r="K72" i="3" s="1"/>
  <c r="K71" i="3" a="1"/>
  <c r="K71" i="3" s="1"/>
  <c r="I71" i="3" a="1"/>
  <c r="I7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<sst xmlns="http://schemas.openxmlformats.org/spreadsheetml/2006/main" count="1624" uniqueCount="804">
  <si>
    <t>rowType</t>
  </si>
  <si>
    <t>extensionId</t>
  </si>
  <si>
    <t>extensionName</t>
  </si>
  <si>
    <t>extensionCoverImageRef</t>
  </si>
  <si>
    <t>cardId</t>
  </si>
  <si>
    <t>name</t>
  </si>
  <si>
    <t>rarityLabel</t>
  </si>
  <si>
    <t>cardRarityMultiplier</t>
  </si>
  <si>
    <t>imageRef</t>
  </si>
  <si>
    <t>variantProfileId</t>
  </si>
  <si>
    <t>commonName</t>
  </si>
  <si>
    <t>primaryCatalogName</t>
  </si>
  <si>
    <t>catalogNumber</t>
  </si>
  <si>
    <t>objectFamily</t>
  </si>
  <si>
    <t>objectTypeLabel</t>
  </si>
  <si>
    <t>constellation</t>
  </si>
  <si>
    <t>mainSeason</t>
  </si>
  <si>
    <t>rightAscensionHours</t>
  </si>
  <si>
    <t>rightAscensionMinutes</t>
  </si>
  <si>
    <t>rightAscensionSeconds</t>
  </si>
  <si>
    <t>rightAscensionLabel</t>
  </si>
  <si>
    <t>declinationSign</t>
  </si>
  <si>
    <t>declinationDegrees</t>
  </si>
  <si>
    <t>declinationArcMinutes</t>
  </si>
  <si>
    <t>declinationArcSeconds</t>
  </si>
  <si>
    <t>declinationLabel</t>
  </si>
  <si>
    <t>coordinatesLabel</t>
  </si>
  <si>
    <t>shortDescription</t>
  </si>
  <si>
    <t>detailType</t>
  </si>
  <si>
    <t>distanceLightYears</t>
  </si>
  <si>
    <t>distanceLabel</t>
  </si>
  <si>
    <t>realSizeLightYears</t>
  </si>
  <si>
    <t>realSizeLabel</t>
  </si>
  <si>
    <t>visualFullMoonWidth</t>
  </si>
  <si>
    <t>visualFullMoonHeight</t>
  </si>
  <si>
    <t>angularWidthDegrees</t>
  </si>
  <si>
    <t>angularWidthArcMinutes</t>
  </si>
  <si>
    <t>angularWidthArcSeconds</t>
  </si>
  <si>
    <t>angularWidthLabel</t>
  </si>
  <si>
    <t>angularHeightDegrees</t>
  </si>
  <si>
    <t>angularHeightArcMinutes</t>
  </si>
  <si>
    <t>angularHeightArcSeconds</t>
  </si>
  <si>
    <t>angularHeightLabel</t>
  </si>
  <si>
    <t>visualSizeLabel</t>
  </si>
  <si>
    <t>absoluteMagnitudeValue</t>
  </si>
  <si>
    <t>absoluteMagnitudeLabel</t>
  </si>
  <si>
    <t>extension</t>
  </si>
  <si>
    <t>astronomes-en-herbe</t>
  </si>
  <si>
    <t>Astronomes en herbe</t>
  </si>
  <si>
    <t>cover_astronomes_en_herbe</t>
  </si>
  <si>
    <t>card</t>
  </si>
  <si>
    <t>aeh-albireo</t>
  </si>
  <si>
    <t>Common</t>
  </si>
  <si>
    <t>albireo</t>
  </si>
  <si>
    <t>observation-default</t>
  </si>
  <si>
    <t>Bayer</t>
  </si>
  <si>
    <t>Beta Cygni</t>
  </si>
  <si>
    <t>star</t>
  </si>
  <si>
    <t>Etoile double coloree</t>
  </si>
  <si>
    <t>Cygne</t>
  </si>
  <si>
    <t>Ete</t>
  </si>
  <si>
    <t>AD 19h 30m 43,0s</t>
  </si>
  <si>
    <t>+</t>
  </si>
  <si>
    <t>+27° 58′ 00″</t>
  </si>
  <si>
    <t>AD 19h 30m 43,0s ; Dec +27° 58′ 00″</t>
  </si>
  <si>
    <t>420 annees-lumiere</t>
  </si>
  <si>
    <t>0,005 annee-lumiere</t>
  </si>
  <si>
    <t>-2.3</t>
  </si>
  <si>
    <t>aeh-algol</t>
  </si>
  <si>
    <t>Algol</t>
  </si>
  <si>
    <t>Uncommon</t>
  </si>
  <si>
    <t>algol</t>
  </si>
  <si>
    <t>Beta Persei</t>
  </si>
  <si>
    <t>Etoile variable eclipsante</t>
  </si>
  <si>
    <t>Persee</t>
  </si>
  <si>
    <t>Automne</t>
  </si>
  <si>
    <t>AD 03h 08m 10,0s</t>
  </si>
  <si>
    <t>+40° 57′ 20″</t>
  </si>
  <si>
    <t>AD 03h 08m 10,0s ; Dec +40° 57′ 20″</t>
  </si>
  <si>
    <t>93 annees-lumiere</t>
  </si>
  <si>
    <t>0,0003 annee-lumiere</t>
  </si>
  <si>
    <t>-0.2</t>
  </si>
  <si>
    <t>aeh-almach</t>
  </si>
  <si>
    <t>Almach</t>
  </si>
  <si>
    <t>almach</t>
  </si>
  <si>
    <t>Gamma Andromedae</t>
  </si>
  <si>
    <t>Andromede</t>
  </si>
  <si>
    <t>AD 02h 03m 54,0s</t>
  </si>
  <si>
    <t>+42° 19′ 47″</t>
  </si>
  <si>
    <t>AD 02h 03m 54,0s ; Dec +42° 19′ 47″</t>
  </si>
  <si>
    <t>350 annees-lumiere</t>
  </si>
  <si>
    <t>0,0000118 annee-lumiere</t>
  </si>
  <si>
    <t>-0.3</t>
  </si>
  <si>
    <t>aeh-altair</t>
  </si>
  <si>
    <t>altair</t>
  </si>
  <si>
    <t>Alpha Aquilae</t>
  </si>
  <si>
    <t>Etoile blanche</t>
  </si>
  <si>
    <t>Aigle</t>
  </si>
  <si>
    <t>AD 19h 50m 47,0s</t>
  </si>
  <si>
    <t>+08° 52′ 06″</t>
  </si>
  <si>
    <t>AD 19h 50m 47,0s ; Dec +08° 52′ 06″</t>
  </si>
  <si>
    <t>16,7 annees-lumiere</t>
  </si>
  <si>
    <t>0,000000265 annee-lumiere</t>
  </si>
  <si>
    <t>2.2</t>
  </si>
  <si>
    <t>aeh-andromede-constellation</t>
  </si>
  <si>
    <t>andromeda_constellation</t>
  </si>
  <si>
    <t>IAU</t>
  </si>
  <si>
    <t>AND</t>
  </si>
  <si>
    <t>Constellation</t>
  </si>
  <si>
    <t>AD 01h 00m 00,0s</t>
  </si>
  <si>
    <t>+38° 00′ 00″</t>
  </si>
  <si>
    <t>AD 01h 00m 00,0s ; Dec +38° 00′ 00″</t>
  </si>
  <si>
    <t>5°30′00″</t>
  </si>
  <si>
    <t>2°30′00″</t>
  </si>
  <si>
    <t>11,00 × 5,00 (5°30′00″ × 2°30′00″)</t>
  </si>
  <si>
    <t>aeh-arcturus</t>
  </si>
  <si>
    <t>Arcturus</t>
  </si>
  <si>
    <t>arcturus</t>
  </si>
  <si>
    <t>Alpha Bootis</t>
  </si>
  <si>
    <t>Geante orange</t>
  </si>
  <si>
    <t>Bouvier</t>
  </si>
  <si>
    <t>Printemps</t>
  </si>
  <si>
    <t>AD 14h 15m 39,7s</t>
  </si>
  <si>
    <t>+19° 10′ 57″</t>
  </si>
  <si>
    <t>AD 14h 15m 39,7s ; Dec +19° 10′ 57″</t>
  </si>
  <si>
    <t>36,7 annees-lumiere</t>
  </si>
  <si>
    <t>0,00000373 annee-lumiere</t>
  </si>
  <si>
    <t>aeh-aurora-borealis</t>
  </si>
  <si>
    <t>Epic</t>
  </si>
  <si>
    <t>aurora_borealis</t>
  </si>
  <si>
    <t>Geophysique</t>
  </si>
  <si>
    <t>AUR-N</t>
  </si>
  <si>
    <t>sky_event</t>
  </si>
  <si>
    <t>Phenomenes lumineux polaires</t>
  </si>
  <si>
    <t>Circumpolaire</t>
  </si>
  <si>
    <t>Automne-Hiver</t>
  </si>
  <si>
    <t>AD 00h 00m 00,0s</t>
  </si>
  <si>
    <t>+70° 00′ 00″</t>
  </si>
  <si>
    <t>AD 00h 00m 00,0s ; Dec +70° 00′ 00″</t>
  </si>
  <si>
    <t>60°00′00″</t>
  </si>
  <si>
    <t>30°00′00″</t>
  </si>
  <si>
    <t>120,00 × 60,00 (60°00′00″ × 30°00′00″)</t>
  </si>
  <si>
    <t>aeh-betelgeuse</t>
  </si>
  <si>
    <t>betelgeuse</t>
  </si>
  <si>
    <t>Alpha Orionis</t>
  </si>
  <si>
    <t>Supergeante rouge</t>
  </si>
  <si>
    <t>Orion</t>
  </si>
  <si>
    <t>Hiver</t>
  </si>
  <si>
    <t>AD 05h 55m 10,3s</t>
  </si>
  <si>
    <t>+07° 24′ 25″</t>
  </si>
  <si>
    <t>AD 05h 55m 10,3s ; Dec +07° 24′ 25″</t>
  </si>
  <si>
    <t>548 annees-lumiere</t>
  </si>
  <si>
    <t>0,00011 annee-lumiere</t>
  </si>
  <si>
    <t>-5.85</t>
  </si>
  <si>
    <t>aeh-capella</t>
  </si>
  <si>
    <t>Capella</t>
  </si>
  <si>
    <t>capella</t>
  </si>
  <si>
    <t>Alpha Aurigae</t>
  </si>
  <si>
    <t>Etoile multiple</t>
  </si>
  <si>
    <t>Cocher</t>
  </si>
  <si>
    <t>AD 05h 16m 41,0s</t>
  </si>
  <si>
    <t>+45° 59′ 53″</t>
  </si>
  <si>
    <t>AD 05h 16m 41,0s ; Dec +45° 59′ 53″</t>
  </si>
  <si>
    <t>42,9 annees-lumiere</t>
  </si>
  <si>
    <t>0,00000176 annee-lumiere</t>
  </si>
  <si>
    <t>0.3</t>
  </si>
  <si>
    <t>aeh-cassiopeia</t>
  </si>
  <si>
    <t>Cassiopee</t>
  </si>
  <si>
    <t>cassiopeia_constellation</t>
  </si>
  <si>
    <t>CAS</t>
  </si>
  <si>
    <t>+60° 00′ 00″</t>
  </si>
  <si>
    <t>AD 01h 00m 00,0s ; Dec +60° 00′ 00″</t>
  </si>
  <si>
    <t>5°00′00″</t>
  </si>
  <si>
    <t>3°30′00″</t>
  </si>
  <si>
    <t>10,00 × 7,00 (5°00′00″ × 3°30′00″)</t>
  </si>
  <si>
    <t>aeh-coathanger</t>
  </si>
  <si>
    <t>Amas du Cintre</t>
  </si>
  <si>
    <t>coathanger</t>
  </si>
  <si>
    <t>Collinder</t>
  </si>
  <si>
    <t>Cr 399</t>
  </si>
  <si>
    <t>deep_sky</t>
  </si>
  <si>
    <t>Asterisme</t>
  </si>
  <si>
    <t>Petit Renard</t>
  </si>
  <si>
    <t>AD 19h 26m 00,0s</t>
  </si>
  <si>
    <t>+20° 11′ 00″</t>
  </si>
  <si>
    <t>AD 19h 26m 00,0s ; Dec +20° 11′ 00″</t>
  </si>
  <si>
    <t>30 annees-lumiere</t>
  </si>
  <si>
    <t>1°16′00″</t>
  </si>
  <si>
    <t>0°40′00″</t>
  </si>
  <si>
    <t>2,50 × 1,30 (1°16′00″ × 0°40′00″)</t>
  </si>
  <si>
    <t>-1</t>
  </si>
  <si>
    <t>aeh-comet-neowise</t>
  </si>
  <si>
    <t>comet_neowise</t>
  </si>
  <si>
    <t>Comet</t>
  </si>
  <si>
    <t>C/2020 F3</t>
  </si>
  <si>
    <t>Comete non periodique</t>
  </si>
  <si>
    <t>Variable</t>
  </si>
  <si>
    <t>+00° 00′ 00″</t>
  </si>
  <si>
    <t>AD 00h 00m 00,0s ; Dec +00° 00′ 00″</t>
  </si>
  <si>
    <t>aeh-cygne</t>
  </si>
  <si>
    <t>cygnus_constellation</t>
  </si>
  <si>
    <t>CYG</t>
  </si>
  <si>
    <t>AD 20h 30m 00,0s</t>
  </si>
  <si>
    <t>+42° 00′ 00″</t>
  </si>
  <si>
    <t>AD 20h 30m 00,0s ; Dec +42° 00′ 00″</t>
  </si>
  <si>
    <t>6°00′00″</t>
  </si>
  <si>
    <t>4°30′00″</t>
  </si>
  <si>
    <t>12,00 × 9,00 (6°00′00″ × 4°30′00″)</t>
  </si>
  <si>
    <t>aeh-double-cluster</t>
  </si>
  <si>
    <t>double_cluster</t>
  </si>
  <si>
    <t>Caldwell</t>
  </si>
  <si>
    <t>C14</t>
  </si>
  <si>
    <t>Double amas ouvert</t>
  </si>
  <si>
    <t>AD 02h 21m 00,0s</t>
  </si>
  <si>
    <t>+57° 08′ 00″</t>
  </si>
  <si>
    <t>AD 02h 21m 00,0s ; Dec +57° 08′ 00″</t>
  </si>
  <si>
    <t>7 500 annees-lumiere</t>
  </si>
  <si>
    <t>70 annees-lumiere</t>
  </si>
  <si>
    <t>1°00′00″</t>
  </si>
  <si>
    <t>0°30′00″</t>
  </si>
  <si>
    <t>2,00 × 1,00 (1°00′00″ × 0°30′00″)</t>
  </si>
  <si>
    <t>-3.7</t>
  </si>
  <si>
    <t>aeh-gemeaux</t>
  </si>
  <si>
    <t>Gemeaux</t>
  </si>
  <si>
    <t>gemini_constellation</t>
  </si>
  <si>
    <t>GEM</t>
  </si>
  <si>
    <t>AD 07h 00m 00,0s</t>
  </si>
  <si>
    <t>+22° 00′ 00″</t>
  </si>
  <si>
    <t>AD 07h 00m 00,0s ; Dec +22° 00′ 00″</t>
  </si>
  <si>
    <t>3°00′00″</t>
  </si>
  <si>
    <t>9,00 × 6,00 (4°30′00″ × 3°00′00″)</t>
  </si>
  <si>
    <t>aeh-geminids</t>
  </si>
  <si>
    <t>geminids_meteor_shower</t>
  </si>
  <si>
    <t>IMO</t>
  </si>
  <si>
    <t>Essaim d'etoiles filantes</t>
  </si>
  <si>
    <t>AD 07h 30m 00,0s</t>
  </si>
  <si>
    <t>+32° 00′ 00″</t>
  </si>
  <si>
    <t>AD 07h 30m 00,0s ; Dec +32° 00′ 00″</t>
  </si>
  <si>
    <t>90°00′00″</t>
  </si>
  <si>
    <t>45°00′00″</t>
  </si>
  <si>
    <t>180,00 × 90,00 (90°00′00″ × 45°00′00″)</t>
  </si>
  <si>
    <t>aeh-comet-halley</t>
  </si>
  <si>
    <t>halley_comet</t>
  </si>
  <si>
    <t>Periodic Comet</t>
  </si>
  <si>
    <t>1P/Halley</t>
  </si>
  <si>
    <t>Comete periodique</t>
  </si>
  <si>
    <t>aeh-hyades</t>
  </si>
  <si>
    <t>Hyades</t>
  </si>
  <si>
    <t>hyades</t>
  </si>
  <si>
    <t>Melotte</t>
  </si>
  <si>
    <t>Mel 25</t>
  </si>
  <si>
    <t>Amas ouvert</t>
  </si>
  <si>
    <t>Taureau</t>
  </si>
  <si>
    <t>AD 04h 27m 00,0s</t>
  </si>
  <si>
    <t>+16° 00′ 00″</t>
  </si>
  <si>
    <t>AD 04h 27m 00,0s ; Dec +16° 00′ 00″</t>
  </si>
  <si>
    <t>153 annees-lumiere</t>
  </si>
  <si>
    <t>75 annees-lumiere</t>
  </si>
  <si>
    <t>-2.7</t>
  </si>
  <si>
    <t>aeh-leonids</t>
  </si>
  <si>
    <t>leonids_meteor_shower</t>
  </si>
  <si>
    <t>LEO</t>
  </si>
  <si>
    <t>Lion</t>
  </si>
  <si>
    <t>AD 10h 08m 00,0s</t>
  </si>
  <si>
    <t>AD 10h 08m 00,0s ; Dec +22° 00′ 00″</t>
  </si>
  <si>
    <t>174,19 × 87,10 (90°00′00″ × 45°00′00″)</t>
  </si>
  <si>
    <t>aeh-lyre-constellation</t>
  </si>
  <si>
    <t>Lyre</t>
  </si>
  <si>
    <t>lyra_constellation</t>
  </si>
  <si>
    <t>LYR</t>
  </si>
  <si>
    <t>AD 18h 50m 00,0s</t>
  </si>
  <si>
    <t>+36° 40′ 00″</t>
  </si>
  <si>
    <t>AD 18h 50m 00,0s ; Dec +36° 40′ 00″</t>
  </si>
  <si>
    <t>4°00′00″</t>
  </si>
  <si>
    <t>7,74 × 5,81 (4°00′00″ × 3°00′00″)</t>
  </si>
  <si>
    <t>aeh-m11-wild-duck</t>
  </si>
  <si>
    <t>Amas du Canard Sauvage</t>
  </si>
  <si>
    <t>m11_wild_duck_cluster</t>
  </si>
  <si>
    <t>Messier</t>
  </si>
  <si>
    <t>M11</t>
  </si>
  <si>
    <t>Ecu</t>
  </si>
  <si>
    <t>AD 18h 51m 06,0s</t>
  </si>
  <si>
    <t>-</t>
  </si>
  <si>
    <t>-06° 16′ 00″</t>
  </si>
  <si>
    <t>AD 18h 51m 06,0s ; Dec -06° 16′ 00″</t>
  </si>
  <si>
    <t>6 120 annees-lumiere</t>
  </si>
  <si>
    <t>20 annees-lumiere</t>
  </si>
  <si>
    <t>0°14′00″</t>
  </si>
  <si>
    <t>0,45 × 0,45 (0°14′00″ × 0°14′00″)</t>
  </si>
  <si>
    <t>-6.3</t>
  </si>
  <si>
    <t>aeh-m13-hercules</t>
  </si>
  <si>
    <t>Grand amas d'Hercule</t>
  </si>
  <si>
    <t>m13_hercules</t>
  </si>
  <si>
    <t>M13</t>
  </si>
  <si>
    <t>Amas globulaire</t>
  </si>
  <si>
    <t>Hercule</t>
  </si>
  <si>
    <t>AD 16h 41m 41,0s</t>
  </si>
  <si>
    <t>+36° 28′ 00″</t>
  </si>
  <si>
    <t>AD 16h 41m 41,0s ; Dec +36° 28′ 00″</t>
  </si>
  <si>
    <t>25 000 annees-lumiere</t>
  </si>
  <si>
    <t>145 annees-lumiere</t>
  </si>
  <si>
    <t>0°20′00″</t>
  </si>
  <si>
    <t>0,65 × 0,65 (0°20′00″ × 0°20′00″)</t>
  </si>
  <si>
    <t>-8.5</t>
  </si>
  <si>
    <t>aeh-m16-eagle</t>
  </si>
  <si>
    <t>Rare</t>
  </si>
  <si>
    <t>m16_eagle_nebula</t>
  </si>
  <si>
    <t>M16</t>
  </si>
  <si>
    <t>Amas ouvert et nebuleuse</t>
  </si>
  <si>
    <t>Serpent</t>
  </si>
  <si>
    <t>AD 18h 18m 48,0s</t>
  </si>
  <si>
    <t>-13° 49′ 00″</t>
  </si>
  <si>
    <t>AD 18h 18m 48,0s ; Dec -13° 49′ 00″</t>
  </si>
  <si>
    <t>5 700 annees-lumiere</t>
  </si>
  <si>
    <t>0°35′00″</t>
  </si>
  <si>
    <t>0°28′00″</t>
  </si>
  <si>
    <t>1,13 × 0,90 (0°35′00″ × 0°28′00″)</t>
  </si>
  <si>
    <t>-6.4</t>
  </si>
  <si>
    <t>aeh-m17-swan</t>
  </si>
  <si>
    <t>m17_swan_nebula</t>
  </si>
  <si>
    <t>M17</t>
  </si>
  <si>
    <t>Nebuleuse diffuse</t>
  </si>
  <si>
    <t>Sagittaire</t>
  </si>
  <si>
    <t>AD 18h 20m 47,0s</t>
  </si>
  <si>
    <t>-16° 11′ 00″</t>
  </si>
  <si>
    <t>AD 18h 20m 47,0s ; Dec -16° 11′ 00″</t>
  </si>
  <si>
    <t>5 500 annees-lumiere</t>
  </si>
  <si>
    <t>15 annees-lumiere</t>
  </si>
  <si>
    <t>0°15′00″</t>
  </si>
  <si>
    <t>0,65 × 0,48 (0°20′00″ × 0°15′00″)</t>
  </si>
  <si>
    <t>-5.8</t>
  </si>
  <si>
    <t>aeh-m22-globular</t>
  </si>
  <si>
    <t>M22</t>
  </si>
  <si>
    <t>m22_globular_cluster</t>
  </si>
  <si>
    <t>AD 18h 36m 24,0s</t>
  </si>
  <si>
    <t>-23° 54′ 00″</t>
  </si>
  <si>
    <t>AD 18h 36m 24,0s ; Dec -23° 54′ 00″</t>
  </si>
  <si>
    <t>10 600 annees-lumiere</t>
  </si>
  <si>
    <t>100 annees-lumiere</t>
  </si>
  <si>
    <t>0°24′00″</t>
  </si>
  <si>
    <t>0,77 × 0,77 (0°24′00″ × 0°24′00″)</t>
  </si>
  <si>
    <t>aeh-m24-star-cloud</t>
  </si>
  <si>
    <t>Nuage stellaire du Sagittaire</t>
  </si>
  <si>
    <t>m24_star_cloud</t>
  </si>
  <si>
    <t>M24</t>
  </si>
  <si>
    <t>Nuage stellaire</t>
  </si>
  <si>
    <t>AD 18h 16m 48,0s</t>
  </si>
  <si>
    <t>-18° 29′ 00″</t>
  </si>
  <si>
    <t>AD 18h 16m 48,0s ; Dec -18° 29′ 00″</t>
  </si>
  <si>
    <t>10 000 annees-lumiere</t>
  </si>
  <si>
    <t>600 annees-lumiere</t>
  </si>
  <si>
    <t>2°00′00″</t>
  </si>
  <si>
    <t>3,87 × 1,94 (2°00′00″ × 1°00′00″)</t>
  </si>
  <si>
    <t>aeh-m27-dumbbell</t>
  </si>
  <si>
    <t>m27_dumbbell</t>
  </si>
  <si>
    <t>M27</t>
  </si>
  <si>
    <t>Nebuleuse planetaire</t>
  </si>
  <si>
    <t>AD 19h 59m 36,0s</t>
  </si>
  <si>
    <t>+22° 43′ 00″</t>
  </si>
  <si>
    <t>AD 19h 59m 36,0s ; Dec +22° 43′ 00″</t>
  </si>
  <si>
    <t>1 360 annees-lumiere</t>
  </si>
  <si>
    <t>2,5 annees-lumiere</t>
  </si>
  <si>
    <t>0°08′00″</t>
  </si>
  <si>
    <t>0°05′00″</t>
  </si>
  <si>
    <t>0,27 × 0,18 (0°08′00″ × 0°05′00″)</t>
  </si>
  <si>
    <t>-0.5</t>
  </si>
  <si>
    <t>aeh-m31-andromeda</t>
  </si>
  <si>
    <t>m31_andromeda</t>
  </si>
  <si>
    <t>M31</t>
  </si>
  <si>
    <t>Galaxie spirale</t>
  </si>
  <si>
    <t>AD 00h 42m 44,3s</t>
  </si>
  <si>
    <t>+41° 16′ 09″</t>
  </si>
  <si>
    <t>AD 00h 42m 44,3s ; Dec +41° 16′ 09″</t>
  </si>
  <si>
    <t>2 540 000 annees-lumiere</t>
  </si>
  <si>
    <t>220 000 annees-lumiere</t>
  </si>
  <si>
    <t>6,00 × 2,00 (3°00′00″ × 1°00′00″)</t>
  </si>
  <si>
    <t>-21.5</t>
  </si>
  <si>
    <t>aeh-m33-triangulum</t>
  </si>
  <si>
    <t>Galaxie du Triangle</t>
  </si>
  <si>
    <t>m33_triangulum</t>
  </si>
  <si>
    <t>M33</t>
  </si>
  <si>
    <t>Triangle</t>
  </si>
  <si>
    <t>AD 01h 33m 51,0s</t>
  </si>
  <si>
    <t>+30° 39′ 37″</t>
  </si>
  <si>
    <t>AD 01h 33m 51,0s ; Dec +30° 39′ 37″</t>
  </si>
  <si>
    <t>2 730 000 annees-lumiere</t>
  </si>
  <si>
    <t>60 000 annees-lumiere</t>
  </si>
  <si>
    <t>1°08′00″</t>
  </si>
  <si>
    <t>0°45′00″</t>
  </si>
  <si>
    <t>2,30 × 1,50 (1°08′00″ × 0°45′00″)</t>
  </si>
  <si>
    <t>-18.9</t>
  </si>
  <si>
    <t>aeh-m37-open-cluster</t>
  </si>
  <si>
    <t>M37</t>
  </si>
  <si>
    <t>m37_open_cluster</t>
  </si>
  <si>
    <t>AD 05h 52m 18,0s</t>
  </si>
  <si>
    <t>+32° 33′ 00″</t>
  </si>
  <si>
    <t>AD 05h 52m 18,0s ; Dec +32° 33′ 00″</t>
  </si>
  <si>
    <t>4 500 annees-lumiere</t>
  </si>
  <si>
    <t>25 annees-lumiere</t>
  </si>
  <si>
    <t>-5</t>
  </si>
  <si>
    <t>aeh-m38-open-cluster</t>
  </si>
  <si>
    <t>M38</t>
  </si>
  <si>
    <t>m38_open_cluster</t>
  </si>
  <si>
    <t>AD 05h 28m 42,0s</t>
  </si>
  <si>
    <t>+35° 51′ 00″</t>
  </si>
  <si>
    <t>AD 05h 28m 42,0s ; Dec +35° 51′ 00″</t>
  </si>
  <si>
    <t>4 200 annees-lumiere</t>
  </si>
  <si>
    <t>0°21′00″</t>
  </si>
  <si>
    <t>0,68 × 0,68 (0°21′00″ × 0°21′00″)</t>
  </si>
  <si>
    <t>-4.2</t>
  </si>
  <si>
    <t>aeh-m39-open-cluster</t>
  </si>
  <si>
    <t>M39</t>
  </si>
  <si>
    <t>m39_open_cluster</t>
  </si>
  <si>
    <t>AD 21h 31m 48,0s</t>
  </si>
  <si>
    <t>+48° 26′ 00″</t>
  </si>
  <si>
    <t>AD 21h 31m 48,0s ; Dec +48° 26′ 00″</t>
  </si>
  <si>
    <t>1 010 annees-lumiere</t>
  </si>
  <si>
    <t>7 annees-lumiere</t>
  </si>
  <si>
    <t>0°32′00″</t>
  </si>
  <si>
    <t>1,03 × 1,03 (0°32′00″ × 0°32′00″)</t>
  </si>
  <si>
    <t>aeh-m41-open-cluster</t>
  </si>
  <si>
    <t>M41</t>
  </si>
  <si>
    <t>m41_open_cluster</t>
  </si>
  <si>
    <t>Grand Chien</t>
  </si>
  <si>
    <t>AD 06h 47m 00,0s</t>
  </si>
  <si>
    <t>-20° 44′ 00″</t>
  </si>
  <si>
    <t>AD 06h 47m 00,0s ; Dec -20° 44′ 00″</t>
  </si>
  <si>
    <t>2 300 annees-lumiere</t>
  </si>
  <si>
    <t>0°38′00″</t>
  </si>
  <si>
    <t>1,23 × 1,23 (0°38′00″ × 0°38′00″)</t>
  </si>
  <si>
    <t>aeh-m42-orion-nebula</t>
  </si>
  <si>
    <t>m42_orion_nebula</t>
  </si>
  <si>
    <t>M42</t>
  </si>
  <si>
    <t>Nebuleuse par emission et reflexion</t>
  </si>
  <si>
    <t>AD 05h 35m 17,3s</t>
  </si>
  <si>
    <t>-05° 23′ 28″</t>
  </si>
  <si>
    <t>AD 05h 35m 17,3s ; Dec -05° 23′ 28″</t>
  </si>
  <si>
    <t>1 344 annees-lumiere</t>
  </si>
  <si>
    <t>24 annees-lumiere</t>
  </si>
  <si>
    <t>1°05′00″</t>
  </si>
  <si>
    <t>2,10 × 1,94 (1°05′00″ × 1°00′00″)</t>
  </si>
  <si>
    <t>-4.1</t>
  </si>
  <si>
    <t>aeh-m45-pleiades</t>
  </si>
  <si>
    <t>m45_pleiades</t>
  </si>
  <si>
    <t>M45</t>
  </si>
  <si>
    <t>AD 03h 47m 24,0s</t>
  </si>
  <si>
    <t>+24° 07′ 00″</t>
  </si>
  <si>
    <t>AD 03h 47m 24,0s ; Dec +24° 07′ 00″</t>
  </si>
  <si>
    <t>444 annees-lumiere</t>
  </si>
  <si>
    <t>17,5 annees-lumiere</t>
  </si>
  <si>
    <t>1°50′00″</t>
  </si>
  <si>
    <t>3,67 × 3,67 (1°50′00″ × 1°50′00″)</t>
  </si>
  <si>
    <t>-1.6</t>
  </si>
  <si>
    <t>aeh-m46-open-cluster</t>
  </si>
  <si>
    <t>M46</t>
  </si>
  <si>
    <t>m46_open_cluster</t>
  </si>
  <si>
    <t>Poupe</t>
  </si>
  <si>
    <t>AD 07h 41m 46,0s</t>
  </si>
  <si>
    <t>-14° 49′ 00″</t>
  </si>
  <si>
    <t>AD 07h 41m 46,0s ; Dec -14° 49′ 00″</t>
  </si>
  <si>
    <t>4 900 annees-lumiere</t>
  </si>
  <si>
    <t>0°27′00″</t>
  </si>
  <si>
    <t>0,87 × 0,87 (0°27′00″ × 0°27′00″)</t>
  </si>
  <si>
    <t>-6.1</t>
  </si>
  <si>
    <t>aeh-m57-ring</t>
  </si>
  <si>
    <t>m57_ring</t>
  </si>
  <si>
    <t>M57</t>
  </si>
  <si>
    <t>AD 18h 53m 35,0s</t>
  </si>
  <si>
    <t>+33° 02′ 00″</t>
  </si>
  <si>
    <t>AD 18h 53m 35,0s ; Dec +33° 02′ 00″</t>
  </si>
  <si>
    <t>1,3 annees-lumiere</t>
  </si>
  <si>
    <t>0°01′24″</t>
  </si>
  <si>
    <t>0°01′12″</t>
  </si>
  <si>
    <t>0,05 × 0,04 (0°01′24″ × 0°01′12″)</t>
  </si>
  <si>
    <t>0.7</t>
  </si>
  <si>
    <t>aeh-m6-butterfly</t>
  </si>
  <si>
    <t>Amas du Papillon</t>
  </si>
  <si>
    <t>m6_butterfly_cluster</t>
  </si>
  <si>
    <t>M6</t>
  </si>
  <si>
    <t>Scorpion</t>
  </si>
  <si>
    <t>AD 17h 40m 12,0s</t>
  </si>
  <si>
    <t>-32° 13′ 00″</t>
  </si>
  <si>
    <t>AD 17h 40m 12,0s ; Dec -32° 13′ 00″</t>
  </si>
  <si>
    <t>1 600 annees-lumiere</t>
  </si>
  <si>
    <t>0°25′00″</t>
  </si>
  <si>
    <t>0,81 × 0,81 (0°25′00″ × 0°25′00″)</t>
  </si>
  <si>
    <t>-5.6</t>
  </si>
  <si>
    <t>aeh-m8-lagoon</t>
  </si>
  <si>
    <t>Nebuleuse de la Lagune</t>
  </si>
  <si>
    <t>m8_lagoon_nebula</t>
  </si>
  <si>
    <t>M8</t>
  </si>
  <si>
    <t>AD 18h 03m 37,0s</t>
  </si>
  <si>
    <t>-24° 23′ 12″</t>
  </si>
  <si>
    <t>AD 18h 03m 37,0s ; Dec -24° 23′ 12″</t>
  </si>
  <si>
    <t>4 100 annees-lumiere</t>
  </si>
  <si>
    <t>110 annees-lumiere</t>
  </si>
  <si>
    <t>1°30′00″</t>
  </si>
  <si>
    <t>2,90 × 1,29 (1°30′00″ × 0°40′00″)</t>
  </si>
  <si>
    <t>-6</t>
  </si>
  <si>
    <t>aeh-m81-bode</t>
  </si>
  <si>
    <t>Galaxie de Bode</t>
  </si>
  <si>
    <t>m81_bode</t>
  </si>
  <si>
    <t>M81</t>
  </si>
  <si>
    <t>Grande Ourse</t>
  </si>
  <si>
    <t>AD 09h 55m 33,0s</t>
  </si>
  <si>
    <t>+69° 04′ 00″</t>
  </si>
  <si>
    <t>AD 09h 55m 33,0s ; Dec +69° 04′ 00″</t>
  </si>
  <si>
    <t>11 700 000 annees-lumiere</t>
  </si>
  <si>
    <t>90 000 annees-lumiere</t>
  </si>
  <si>
    <t>0°26′00″</t>
  </si>
  <si>
    <t>0°12′30″</t>
  </si>
  <si>
    <t>0,88 × 0,42 (0°26′00″ × 0°12′30″)</t>
  </si>
  <si>
    <t>-20.8</t>
  </si>
  <si>
    <t>aeh-m82-cigar</t>
  </si>
  <si>
    <t>Galaxie du Cigare</t>
  </si>
  <si>
    <t>m82_cigar</t>
  </si>
  <si>
    <t>M82</t>
  </si>
  <si>
    <t>Galaxie irreguliere</t>
  </si>
  <si>
    <t>AD 09h 55m 53,0s</t>
  </si>
  <si>
    <t>+69° 41′ 00″</t>
  </si>
  <si>
    <t>AD 09h 55m 53,0s ; Dec +69° 41′ 00″</t>
  </si>
  <si>
    <t>12 000 000 annees-lumiere</t>
  </si>
  <si>
    <t>37 000 annees-lumiere</t>
  </si>
  <si>
    <t>0°11′00″</t>
  </si>
  <si>
    <t>0°04′30″</t>
  </si>
  <si>
    <t>0,37 × 0,15 (0°11′00″ × 0°04′30″)</t>
  </si>
  <si>
    <t>-20</t>
  </si>
  <si>
    <t>aeh-mira</t>
  </si>
  <si>
    <t>Mira</t>
  </si>
  <si>
    <t>mira</t>
  </si>
  <si>
    <t>Omicron Ceti</t>
  </si>
  <si>
    <t>Etoile variable a longue periode</t>
  </si>
  <si>
    <t>Baleine</t>
  </si>
  <si>
    <t>AD 02h 19m 21,0s</t>
  </si>
  <si>
    <t>-02° 58′ 40″</t>
  </si>
  <si>
    <t>AD 02h 19m 21,0s ; Dec -02° 58′ 40″</t>
  </si>
  <si>
    <t>300 annees-lumiere</t>
  </si>
  <si>
    <t>0,001 annee-lumiere</t>
  </si>
  <si>
    <t>-0.6</t>
  </si>
  <si>
    <t>aeh-mizar-alcor</t>
  </si>
  <si>
    <t>Mizar et Alcor</t>
  </si>
  <si>
    <t>mizar_alcor</t>
  </si>
  <si>
    <t>Zeta UMa + 80 UMa</t>
  </si>
  <si>
    <t>Double visuelle</t>
  </si>
  <si>
    <t>AD 13h 24m 00,0s</t>
  </si>
  <si>
    <t>+54° 56′ 00″</t>
  </si>
  <si>
    <t>AD 13h 24m 00,0s ; Dec +54° 56′ 00″</t>
  </si>
  <si>
    <t>83 annees-lumiere</t>
  </si>
  <si>
    <t>0,007 annee-lumiere</t>
  </si>
  <si>
    <t>aeh-ngc7000</t>
  </si>
  <si>
    <t>ngc7000_north_america</t>
  </si>
  <si>
    <t>NGC</t>
  </si>
  <si>
    <t>NGC 7000</t>
  </si>
  <si>
    <t>AD 20h 58m 54,0s</t>
  </si>
  <si>
    <t>+44° 20′ 00″</t>
  </si>
  <si>
    <t>AD 20h 58m 54,0s ; Dec +44° 20′ 00″</t>
  </si>
  <si>
    <t>2 200 annees-lumiere</t>
  </si>
  <si>
    <t>1°45′00″</t>
  </si>
  <si>
    <t>4,00 × 3,50 (2°00′00″ × 1°45′00″)</t>
  </si>
  <si>
    <t>aeh-orion-constellation</t>
  </si>
  <si>
    <t>orion_constellation</t>
  </si>
  <si>
    <t>ORI</t>
  </si>
  <si>
    <t>AD 05h 30m 00,0s</t>
  </si>
  <si>
    <t>+05° 00′ 00″</t>
  </si>
  <si>
    <t>AD 05h 30m 00,0s ; Dec +05° 00′ 00″</t>
  </si>
  <si>
    <t>8°00′00″</t>
  </si>
  <si>
    <t>7°30′00″</t>
  </si>
  <si>
    <t>16,00 × 15,00 (8°00′00″ × 7°30′00″)</t>
  </si>
  <si>
    <t>aeh-perseids</t>
  </si>
  <si>
    <t>perseids_meteor_shower</t>
  </si>
  <si>
    <t>PER</t>
  </si>
  <si>
    <t>AD 03h 04m 00,0s</t>
  </si>
  <si>
    <t>+58° 00′ 00″</t>
  </si>
  <si>
    <t>AD 03h 04m 00,0s ; Dec +58° 00′ 00″</t>
  </si>
  <si>
    <t>aeh-persee-constellation</t>
  </si>
  <si>
    <t>perseus_constellation</t>
  </si>
  <si>
    <t>AD 03h 10m 00,0s</t>
  </si>
  <si>
    <t>+45° 00′ 00″</t>
  </si>
  <si>
    <t>AD 03h 10m 00,0s ; Dec +45° 00′ 00″</t>
  </si>
  <si>
    <t>15,48 × 11,61 (8°00′00″ × 6°00′00″)</t>
  </si>
  <si>
    <t>aeh-polaris</t>
  </si>
  <si>
    <t>polaris</t>
  </si>
  <si>
    <t>Alpha Ursae Minoris</t>
  </si>
  <si>
    <t>Supergeante jaune</t>
  </si>
  <si>
    <t>Petite Ourse</t>
  </si>
  <si>
    <t>Toute annee</t>
  </si>
  <si>
    <t>AD 02h 31m 49,0s</t>
  </si>
  <si>
    <t>+89° 15′ 51″</t>
  </si>
  <si>
    <t>AD 02h 31m 49,0s ; Dec +89° 15′ 51″</t>
  </si>
  <si>
    <t>433 annees-lumiere</t>
  </si>
  <si>
    <t>0,0005 annee-lumiere</t>
  </si>
  <si>
    <t>-3.6</t>
  </si>
  <si>
    <t>aeh-sirius</t>
  </si>
  <si>
    <t>Sirius</t>
  </si>
  <si>
    <t>sirius</t>
  </si>
  <si>
    <t>Alpha Canis Majoris</t>
  </si>
  <si>
    <t>Etoile binaire</t>
  </si>
  <si>
    <t>AD 06h 45m 08,9s</t>
  </si>
  <si>
    <t>-16° 42′ 58″</t>
  </si>
  <si>
    <t>AD 06h 45m 08,9s ; Dec -16° 42′ 58″</t>
  </si>
  <si>
    <t>8,6 annees-lumiere</t>
  </si>
  <si>
    <t>0,00000025 annee-lumiere</t>
  </si>
  <si>
    <t>1.42</t>
  </si>
  <si>
    <t>aeh-grande-ourse</t>
  </si>
  <si>
    <t>ursa_major_constellation</t>
  </si>
  <si>
    <t>UMA</t>
  </si>
  <si>
    <t>AD 11h 00m 00,0s</t>
  </si>
  <si>
    <t>+56° 00′ 00″</t>
  </si>
  <si>
    <t>AD 11h 00m 00,0s ; Dec +56° 00′ 00″</t>
  </si>
  <si>
    <t>12°00′00″</t>
  </si>
  <si>
    <t>23,23 × 15,48 (12°00′00″ × 8°00′00″)</t>
  </si>
  <si>
    <t>GlobalSettings</t>
  </si>
  <si>
    <t>cardsPerDraw</t>
  </si>
  <si>
    <t>drawCooldownHours</t>
  </si>
  <si>
    <t>VariantProfiles</t>
  </si>
  <si>
    <t>category</t>
  </si>
  <si>
    <t>code</t>
  </si>
  <si>
    <t>label</t>
  </si>
  <si>
    <t>weight</t>
  </si>
  <si>
    <t>probability</t>
  </si>
  <si>
    <t>meanPacks</t>
  </si>
  <si>
    <t>meanDays</t>
  </si>
  <si>
    <t>skyQuality</t>
  </si>
  <si>
    <t>city</t>
  </si>
  <si>
    <t>Ville</t>
  </si>
  <si>
    <t>suburban</t>
  </si>
  <si>
    <t>Periurbain</t>
  </si>
  <si>
    <t>rural</t>
  </si>
  <si>
    <t>Campagne</t>
  </si>
  <si>
    <t>mountain</t>
  </si>
  <si>
    <t>Montagne</t>
  </si>
  <si>
    <t>finish</t>
  </si>
  <si>
    <t>standard</t>
  </si>
  <si>
    <t>Standard</t>
  </si>
  <si>
    <t>holographic</t>
  </si>
  <si>
    <t>Holographique</t>
  </si>
  <si>
    <t>RaritySummary</t>
  </si>
  <si>
    <t>cardCount</t>
  </si>
  <si>
    <t>totalWeight</t>
  </si>
  <si>
    <t>rarityProbability</t>
  </si>
  <si>
    <t>baseCardWeight</t>
  </si>
  <si>
    <t>Cards</t>
  </si>
  <si>
    <t>rarityPerDays</t>
  </si>
  <si>
    <t>probabilityPerDay</t>
  </si>
  <si>
    <t>unnormedDrawWeight</t>
  </si>
  <si>
    <t>normalisedDrawWeight</t>
  </si>
  <si>
    <t>villeMeanPerDay</t>
  </si>
  <si>
    <t>suburbanMeanPerDay</t>
  </si>
  <si>
    <t>ruralMeanPerDay</t>
  </si>
  <si>
    <t>mountainMeanPerDay</t>
  </si>
  <si>
    <t>commonPerDay</t>
  </si>
  <si>
    <t>uncommonPerDay</t>
  </si>
  <si>
    <t>rarePerDay</t>
  </si>
  <si>
    <t>epicPerDay</t>
  </si>
  <si>
    <t>epicHoloMeanDays</t>
  </si>
  <si>
    <t>rareHoloMeanDays</t>
  </si>
  <si>
    <t>uncommonHoloMeanDays</t>
  </si>
  <si>
    <t>commonHoloMeanDays</t>
  </si>
  <si>
    <t>cityMD</t>
  </si>
  <si>
    <t>periMD</t>
  </si>
  <si>
    <t>campMD</t>
  </si>
  <si>
    <t>montMD</t>
  </si>
  <si>
    <t>cardsPerDay</t>
  </si>
  <si>
    <t>Voiles lumineux polaires spectaculaires, célèbres pour leurs couleurs mouvantes.</t>
  </si>
  <si>
    <t>Astérisme amusant en forme de cintre, facile à observer aux jumelles sous un bon ciel.</t>
  </si>
  <si>
    <t>Comète très médiatisée en 2020, connue pour sa belle queue visible à l'oeil nu.</t>
  </si>
  <si>
    <t>Grande constellation en croix, bien visible l'été le long de la Voie lactée.</t>
  </si>
  <si>
    <t>Constellation marquée par Castor et Pollux, facile à identifier en hiver.</t>
  </si>
  <si>
    <t>Pluie d'étoiles filantes très active de décembre, connue pour ses nombreux météores brillants.</t>
  </si>
  <si>
    <t>Comète la plus célèbre du ciel, connue pour revenir environ tous les 76 ans.</t>
  </si>
  <si>
    <t>Petite constellation facile à retrouver grâce à Véga, très connue en été.</t>
  </si>
  <si>
    <t>Amas globulaire très connu de l'hémisphère nord, facile à trouver entre les étoiles d'Hercule.</t>
  </si>
  <si>
    <t>Nébuleuse planétaire célèbre pour sa forme d'haltère, accessible avec un petit télescope.</t>
  </si>
  <si>
    <t>Amas ouvert facile à trouver sous Sirius, joli aux jumelles.</t>
  </si>
  <si>
    <t>Nébuleuse planétaire fameuse pour son anneau, facile à localiser entre les étoiles de la Lyre.</t>
  </si>
  <si>
    <t>Grande nébuleuse du Sagittaire, très connue et facile à repérer dans la Voie lactée estivale.</t>
  </si>
  <si>
    <t>Grande galaxie spirale bien connue, souvent observée avec M82 dans le même champ.</t>
  </si>
  <si>
    <t>Galaxie célèbre pour sa forme allongée et son aspect contrasté, souvent observée avec M81.</t>
  </si>
  <si>
    <t>Étoile variable célèbre dont l'éclat change fortement, connue depuis des siècles.</t>
  </si>
  <si>
    <t>Constellation très reconnaissable grâce à sa ceinture de trois étoiles alignées, idéale pour débuter.</t>
  </si>
  <si>
    <t>Constellation du nord célèbre pour le Double Amas et les Perséides.</t>
  </si>
  <si>
    <t>Étoile la plus brillante du ciel nocturne, très facile à repérer en hiver.</t>
  </si>
  <si>
    <t>Constellation très célèbre avec la Grande Casserole, idéale pour apprendre le ciel.</t>
  </si>
  <si>
    <t>percentCommonPerDay</t>
  </si>
  <si>
    <t>percentUncommonPerDay</t>
  </si>
  <si>
    <t>percentRarePerDay</t>
  </si>
  <si>
    <t>percentEpicPerDay</t>
  </si>
  <si>
    <t>equipmentCardId</t>
  </si>
  <si>
    <t>equipmentType</t>
  </si>
  <si>
    <t>displayName</t>
  </si>
  <si>
    <t>level</t>
  </si>
  <si>
    <t>packsAffected</t>
  </si>
  <si>
    <t>bonusValue</t>
  </si>
  <si>
    <t>bonusUnit</t>
  </si>
  <si>
    <t>dropWeight</t>
  </si>
  <si>
    <t>description</t>
  </si>
  <si>
    <t>observatory-beginner</t>
  </si>
  <si>
    <t>observatory</t>
  </si>
  <si>
    <t>equipment_observatory_1</t>
  </si>
  <si>
    <t>rechargeMultiplier</t>
  </si>
  <si>
    <t>observatory-advanced</t>
  </si>
  <si>
    <t>equipment_observatory_2</t>
  </si>
  <si>
    <t>Maintient une recharge plus rapide pendant plusieurs packs.</t>
  </si>
  <si>
    <t>observatory-master</t>
  </si>
  <si>
    <t>equipment_observatory_3</t>
  </si>
  <si>
    <t>telescope-beginner</t>
  </si>
  <si>
    <t>telescope</t>
  </si>
  <si>
    <t>equipment_telescope_1</t>
  </si>
  <si>
    <t>telescope-advanced</t>
  </si>
  <si>
    <t>equipment_telescope_2</t>
  </si>
  <si>
    <t>Renforce sensiblement l'apparition des cartes holographiques.</t>
  </si>
  <si>
    <t>telescope-master</t>
  </si>
  <si>
    <t>equipment_telescope_3</t>
  </si>
  <si>
    <t>mount-beginner</t>
  </si>
  <si>
    <t>mount</t>
  </si>
  <si>
    <t>equipment_mount_1</t>
  </si>
  <si>
    <t>rarityBoost</t>
  </si>
  <si>
    <t>mount-advanced</t>
  </si>
  <si>
    <t>equipment_mount_2</t>
  </si>
  <si>
    <t>mount-master</t>
  </si>
  <si>
    <t>equipment_mount_3</t>
  </si>
  <si>
    <t>Pousse les tirages vers des cartes plus rares pendant plusieurs packs.</t>
  </si>
  <si>
    <t>EquipmentChancePercent</t>
  </si>
  <si>
    <t>Albiréo</t>
  </si>
  <si>
    <t>Belle étoile double bleu et jaune, formant la tête de la constellation du Cygne.</t>
  </si>
  <si>
    <t>Étoile variable célèbre car sa période est de 3 jours. Ses changements de luminosités sont donc faciles à suivre au fil des nuits.</t>
  </si>
  <si>
    <t>Étoile double colorée très connue car la deuxième étoile du système est également une étoile double !</t>
  </si>
  <si>
    <t>Altaïr</t>
  </si>
  <si>
    <t>Étoile brillante du Triangle d'été, au centre de la tête de « l’Aigle Volant ».</t>
  </si>
  <si>
    <t>Andromède</t>
  </si>
  <si>
    <t>Constellation formant les pates arrières de Pégase, connue pour habriter la galaxie d'Andromède.</t>
  </si>
  <si>
    <t>Géante rouge qui proviendrait d'une petite galaxie qui serait entrée en collision et aurait fusionné avec la Voie lactée il y a 5 à 8 milliards d'années.</t>
  </si>
  <si>
    <t>Aurore boréale</t>
  </si>
  <si>
    <t>Bételgeuse</t>
  </si>
  <si>
    <t>Supergéante rouge célèbre par sa luminosité et sa couleur orange, facile à remarquer à l'œil nu dans la constellation d'Orion.</t>
  </si>
  <si>
    <t>De la constellation du Cocher, c'est la quatrième étoile la plus brillante du ciel du Nord après Sirius, Arcturus et Véga.</t>
  </si>
  <si>
    <t>Cassiopée</t>
  </si>
  <si>
    <t>Constellation en forme de W, elle fait partie des "circumpolaires" : les constellations qui ne se couchent jamais.</t>
  </si>
  <si>
    <t>Comète C/2020 F3 NEOWISE</t>
  </si>
  <si>
    <t>Double Amas de Persée</t>
  </si>
  <si>
    <t>Deux amas d'étoiles serrés l'un contre l'autre, célèbres pour leur beau rendu aux jumelles.</t>
  </si>
  <si>
    <t>Gémeaux</t>
  </si>
  <si>
    <t>Géminides</t>
  </si>
  <si>
    <t>Comète de Halley</t>
  </si>
  <si>
    <t>Nymphes des pluies dans la mythologie grec, c'est un grand amas d'étoiles  dans la constellation du Taureau formant un V, très facile à voir à l'oeil nu.</t>
  </si>
  <si>
    <t>Léonides</t>
  </si>
  <si>
    <t>Pluie d'étoiles filantes de novembre dont le radiant se trouve dans la constellation du Lion.</t>
  </si>
  <si>
    <t>Amas ouvert très dense, célèbre pour son aspect compact dans des jumelles.</t>
  </si>
  <si>
    <t>Nébuleuse de l'Aigle</t>
  </si>
  <si>
    <t>Amas d'étoiles et nébuleuse au centre de laquelle se trouve les Piliers de la Création.</t>
  </si>
  <si>
    <t>Nébuleuse Oméga</t>
  </si>
  <si>
    <t>Nébuleuse brillante de la Voie lactée d'été dont la forme se rapproche de la lettre grec Ω ou d'un fer à cheval.</t>
  </si>
  <si>
    <t>Un des plus beaux amas globulaires du ciel, brillant et facile à trouver.</t>
  </si>
  <si>
    <t>Nuage Stellaire du Sagittaire</t>
  </si>
  <si>
    <t>Zone très riche de la Voie lactée, ce n'est pas un véritablement un amas d'étoiles et est souvent considéré comme une erreur du Catalogue de Messier.</t>
  </si>
  <si>
    <t>Nébuleuse de l'Haltère</t>
  </si>
  <si>
    <t>Galaxie d'Andromède</t>
  </si>
  <si>
    <t>Grande galaxie voisine de la Voie lactée, c'est l'objet le plus lointain qui est visible à l'oeil nu sous un bon ciel.</t>
  </si>
  <si>
    <t>Grande galaxie voisine du Groupe local, célèbre mais plus difficile à voir que M31 (galaxie d'Andromède).</t>
  </si>
  <si>
    <t>Amas d'étoiles ouvert riche et serré, souvent considéré comme le plus beau trio du Cocher.</t>
  </si>
  <si>
    <t>Amas d'étoiles ouvert large du Cocher, facile à compléter avec M36 et M37.</t>
  </si>
  <si>
    <t>Amas d'étoiles ouvert large et détendu, facile aux jumelles dans le Cygne.</t>
  </si>
  <si>
    <t>Nébuleuse d'Orion</t>
  </si>
  <si>
    <t>Nébuleuse très célèbre sous la ceinture d'Orion et visible à l'œil nu. Elle est une cible privilégiée pour les astronomes débutants.</t>
  </si>
  <si>
    <t>Pléïades</t>
  </si>
  <si>
    <t>Aussi appelé "Sept Sœurs" par les anglophones, on dit que cet amas d'étoiles ouvert servait de test d'acuité visuel dans l'Antiquité.</t>
  </si>
  <si>
    <t>Amas d'étoiles ouvert partageant le ciel avec un nébuleuse planétaire. Elles ne sont cependant pas physiquement au même endroit.</t>
  </si>
  <si>
    <t>Nébuleuse de la Lyre</t>
  </si>
  <si>
    <t>Amas ouvert célèbre pour sa forme de papillon.</t>
  </si>
  <si>
    <t>Nébuleuse de la Lagune</t>
  </si>
  <si>
    <t>Couple d'étoiles célèbre, visible à l'oeil nu, longtemps utilisé pour tester la vue.</t>
  </si>
  <si>
    <t>Nébuleuse de l'Amerique du Nord</t>
  </si>
  <si>
    <t>Grande nébuleuse connue pour sa forme rappelant l'Amérique du Nord, surtout belle en photo.</t>
  </si>
  <si>
    <t>Perséïdes</t>
  </si>
  <si>
    <t>Pluie d'étoiles filantes très populaire d'août.</t>
  </si>
  <si>
    <t>Persée</t>
  </si>
  <si>
    <t>Étoile Polaire</t>
  </si>
  <si>
    <t>Étoile proche du pôle nord céleste, connue car elle indique le nord.</t>
  </si>
  <si>
    <t>Accélère légèrement la recharge des packs.</t>
  </si>
  <si>
    <t>Double la vitesse de recharge pour une courte série de packs.</t>
  </si>
  <si>
    <t>Ajoute une petite chance holographique supplémentaire.</t>
  </si>
  <si>
    <t>Offre une forte poussée holographique sur les prochains packs.</t>
  </si>
  <si>
    <t>Ajoute une chance modérée de promouvoir une carte d'un palier.</t>
  </si>
  <si>
    <t>Augmente davantage la probabilité de gagner en rareté.</t>
  </si>
  <si>
    <t>Abri d'observation</t>
  </si>
  <si>
    <t>Dôme motorisé</t>
  </si>
  <si>
    <t>Observatoire de recherche</t>
  </si>
  <si>
    <t>Newton</t>
  </si>
  <si>
    <t>Lunette apochromatique</t>
  </si>
  <si>
    <t>Ritchey-Chrétien</t>
  </si>
  <si>
    <t>Monture Alt-Az</t>
  </si>
  <si>
    <t>Monture équatoriale</t>
  </si>
  <si>
    <t>Monture harmonique</t>
  </si>
  <si>
    <t>percentStampMeanPerDay</t>
  </si>
  <si>
    <t>stampMeanPerDay</t>
  </si>
  <si>
    <t>unstampMeanPerDay</t>
  </si>
  <si>
    <t>holoMeanPerDay</t>
  </si>
  <si>
    <t>cityStampMD</t>
  </si>
  <si>
    <t>periStampMD</t>
  </si>
  <si>
    <t>campStampMD</t>
  </si>
  <si>
    <t>montStampMD</t>
  </si>
  <si>
    <t>holoMD</t>
  </si>
  <si>
    <t>holoStampMD</t>
  </si>
  <si>
    <t>holographicSkyPercent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</si>
</sst>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33" borderId="0" xfId="0" applyFill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/>
    <xf numFmtId="164" fontId="16" fillId="0" borderId="0" xfId="0" applyNumberFormat="1" applyFont="1"/>
    <xf numFmtId="0" fontId="0" fillId="33" borderId="0" xfId="0" applyFill="1"/>
    <xf numFmtId="2" fontId="0" fillId="33" borderId="0" xfId="0" applyNumberFormat="1" applyFill="1"/>
    <xf numFmtId="0" fontId="0" fillId="35" borderId="0" xfId="0" applyFill="1"/>
    <xf numFmtId="2" fontId="0" fillId="35" borderId="0" xfId="0" applyNumberFormat="1" applyFill="1"/>
    <xf numFmtId="0" fontId="0" fillId="36" borderId="0" xfId="0" applyFill="1"/>
    <xf numFmtId="2" fontId="0" fillId="36" borderId="0" xfId="0" applyNumberFormat="1" applyFill="1"/>
    <xf numFmtId="0" fontId="0" fillId="37" borderId="0" xfId="0" applyFill="1"/>
    <xf numFmtId="2" fontId="0" fillId="37" borderId="0" xfId="0" applyNumberFormat="1" applyFill="1"/>
    <xf numFmtId="0" fontId="0" fillId="38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39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6E9171-3232-47EC-BA2E-778CC8804D8D}" name="Table1" displayName="Table1" ref="A1:AT52" totalsRowShown="0">
  <autoFilter ref="A1:AT52" xr:uid="{766E9171-3232-47EC-BA2E-778CC8804D8D}"/>
  <tableColumns count="46">
    <tableColumn id="1" xr3:uid="{CF26DF04-235C-4543-9468-CBFEC3C5D050}" name="rowType"/>
    <tableColumn id="2" xr3:uid="{ADA284B2-47B5-4993-B053-72939A7D8D1D}" name="extensionId"/>
    <tableColumn id="3" xr3:uid="{1116EFE8-A680-430E-9CE0-9643A53DFCD5}" name="extensionName"/>
    <tableColumn id="4" xr3:uid="{ED8A91A7-FC84-4983-8587-48555CE968C5}" name="extensionCoverImageRef"/>
    <tableColumn id="5" xr3:uid="{14481FBD-7794-470C-98EE-DB16115E895A}" name="cardId"/>
    <tableColumn id="6" xr3:uid="{EDAFAE91-3728-4BCE-8731-3A388AB3D6CE}" name="name"/>
    <tableColumn id="7" xr3:uid="{EB2C964C-94C5-43F3-B539-DB5F01589AB8}" name="rarityLabel"/>
    <tableColumn id="8" xr3:uid="{83A11CE9-E64C-4642-996F-97F8F87D5643}" name="cardRarityMultiplier"/>
    <tableColumn id="9" xr3:uid="{1CA4B1AB-9EE2-4395-B821-6A333BF8A1D6}" name="imageRef"/>
    <tableColumn id="10" xr3:uid="{10CA68E7-9819-4309-8BE3-FB3E21B92391}" name="variantProfileId"/>
    <tableColumn id="11" xr3:uid="{C9C43666-94A8-4A37-BE5A-AE10DA5D5F71}" name="commonName"/>
    <tableColumn id="12" xr3:uid="{942DE373-5B2D-40DC-828C-896EB2E935F3}" name="primaryCatalogName"/>
    <tableColumn id="13" xr3:uid="{22E79B42-0846-416A-804A-721E6DE16430}" name="catalogNumber"/>
    <tableColumn id="14" xr3:uid="{8ABD57A8-BCA1-4345-BA12-A52CEE97ACC7}" name="objectFamily"/>
    <tableColumn id="15" xr3:uid="{925DF5B7-150A-4A1E-8EB2-2CD7298D5CB6}" name="objectTypeLabel"/>
    <tableColumn id="16" xr3:uid="{E5A93B40-A10E-43BD-AA3B-1EF9CEAFC124}" name="constellation"/>
    <tableColumn id="17" xr3:uid="{602DB6C1-9A20-43CF-ABC1-8AB14E7050AD}" name="mainSeason"/>
    <tableColumn id="18" xr3:uid="{E9668210-AAAF-4708-A385-C67199E20053}" name="rightAscensionHours"/>
    <tableColumn id="19" xr3:uid="{49561BE1-DF5A-4B2B-9366-B15C17C3F073}" name="rightAscensionMinutes"/>
    <tableColumn id="20" xr3:uid="{6624126A-CCA6-429F-B70F-76BC855F474A}" name="rightAscensionSeconds"/>
    <tableColumn id="21" xr3:uid="{EF2F571B-9A2A-4E98-8C14-6ECE243A376C}" name="rightAscensionLabel"/>
    <tableColumn id="22" xr3:uid="{F237B243-A808-4DA7-84DA-522B68300B64}" name="declinationSign"/>
    <tableColumn id="23" xr3:uid="{A09686D5-3AC5-4BF0-8FD8-458E4B3CCFA7}" name="declinationDegrees"/>
    <tableColumn id="24" xr3:uid="{6E866312-6B5B-44AC-98E8-4C2DD3CEFCD8}" name="declinationArcMinutes"/>
    <tableColumn id="25" xr3:uid="{30B76685-27FD-411B-8D4E-5DEAF242C0D4}" name="declinationArcSeconds"/>
    <tableColumn id="26" xr3:uid="{97A000F5-0C28-4EDC-9356-F76E6C6C3D14}" name="declinationLabel"/>
    <tableColumn id="27" xr3:uid="{C8224355-F589-43B7-9C18-EF737C9AEA5F}" name="coordinatesLabel"/>
    <tableColumn id="28" xr3:uid="{C439E35F-2E96-4152-8E67-60925421B4E3}" name="shortDescription"/>
    <tableColumn id="29" xr3:uid="{CB52A4C9-E7D7-45A9-9C65-A182834727A7}" name="detailType"/>
    <tableColumn id="30" xr3:uid="{87325C97-0753-4B8C-BE04-03F494BDA56F}" name="distanceLightYears"/>
    <tableColumn id="31" xr3:uid="{6C421A2F-1555-494F-9D00-96CB52BA3A95}" name="distanceLabel"/>
    <tableColumn id="32" xr3:uid="{F09FFDC9-7224-4DC4-9D5E-399D05607720}" name="realSizeLightYears"/>
    <tableColumn id="33" xr3:uid="{A73CACFF-3789-4C99-BF70-81CC2515EC82}" name="realSizeLabel"/>
    <tableColumn id="34" xr3:uid="{A14F1409-7C3C-4B65-9E28-BDEFE8675B0A}" name="visualFullMoonWidth"/>
    <tableColumn id="35" xr3:uid="{471B0381-C60D-4AF9-9BDB-65A143691EF3}" name="visualFullMoonHeight"/>
    <tableColumn id="36" xr3:uid="{BBCD9A7F-0639-41CC-94AA-4B695B523EAB}" name="angularWidthDegrees"/>
    <tableColumn id="37" xr3:uid="{4D29CDC4-403F-4EF9-9536-8E9237FAAB10}" name="angularWidthArcMinutes"/>
    <tableColumn id="38" xr3:uid="{B4EF29E8-A8B3-4712-8C00-8441122EE984}" name="angularWidthArcSeconds"/>
    <tableColumn id="39" xr3:uid="{0845222F-E5BE-43E8-8688-A1366AA895E3}" name="angularWidthLabel"/>
    <tableColumn id="40" xr3:uid="{83DB69DA-5B21-45A7-A2B4-8360B6341B29}" name="angularHeightDegrees"/>
    <tableColumn id="41" xr3:uid="{5A8BF9BE-869F-4C24-ABA2-751496DF6121}" name="angularHeightArcMinutes"/>
    <tableColumn id="42" xr3:uid="{48F31678-B929-4BF1-B025-F732C867EA8E}" name="angularHeightArcSeconds"/>
    <tableColumn id="43" xr3:uid="{99CA14B7-2E9A-4902-9A78-E20DA26C640F}" name="angularHeightLabel"/>
    <tableColumn id="44" xr3:uid="{BBDD5EAF-BDA3-42CC-BB76-59426B03E62C}" name="visualSizeLabel"/>
    <tableColumn id="45" xr3:uid="{00D5AC37-AA0E-4F87-88F6-5922E20A5912}" name="absoluteMagnitudeValue"/>
    <tableColumn id="46" xr3:uid="{DEEBB93F-0947-4A72-B1B6-E9094EB4A9CB}" name="absoluteMagnitudeLabe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2"/>
  <sheetViews>
    <sheetView topLeftCell="A22" workbookViewId="0">
      <selection activeCell="G55" sqref="G55"/>
    </sheetView>
  </sheetViews>
  <sheetFormatPr defaultRowHeight="15" x14ac:dyDescent="0.25"/>
  <cols>
    <col min="1" max="1" width="10.42578125" customWidth="1"/>
    <col min="2" max="2" width="20.42578125" bestFit="1" customWidth="1"/>
    <col min="3" max="3" width="4.7109375" customWidth="1"/>
    <col min="4" max="4" width="5.140625" customWidth="1"/>
    <col min="5" max="5" width="28" bestFit="1" customWidth="1"/>
    <col min="6" max="6" width="31.140625" bestFit="1" customWidth="1"/>
    <col min="7" max="7" width="12.42578125" customWidth="1"/>
    <col min="8" max="8" width="20.5703125" customWidth="1"/>
    <col min="9" max="9" width="24.140625" bestFit="1" customWidth="1"/>
    <col min="10" max="10" width="18.5703125" bestFit="1" customWidth="1"/>
    <col min="11" max="11" width="31.140625" bestFit="1" customWidth="1"/>
    <col min="12" max="12" width="22" customWidth="1"/>
    <col min="13" max="13" width="20" bestFit="1" customWidth="1"/>
    <col min="14" max="14" width="14.42578125" customWidth="1"/>
    <col min="15" max="15" width="33.140625" bestFit="1" customWidth="1"/>
    <col min="16" max="16" width="14.7109375" customWidth="1"/>
    <col min="17" max="17" width="14.140625" bestFit="1" customWidth="1"/>
    <col min="18" max="18" width="21.5703125" customWidth="1"/>
    <col min="19" max="19" width="23.28515625" customWidth="1"/>
    <col min="20" max="20" width="23.7109375" customWidth="1"/>
    <col min="21" max="21" width="21" customWidth="1"/>
    <col min="22" max="22" width="16.85546875" customWidth="1"/>
    <col min="23" max="23" width="20.140625" customWidth="1"/>
    <col min="24" max="24" width="23" customWidth="1"/>
    <col min="25" max="25" width="23.42578125" customWidth="1"/>
    <col min="26" max="26" width="17.85546875" customWidth="1"/>
    <col min="27" max="27" width="31.7109375" bestFit="1" customWidth="1"/>
    <col min="28" max="28" width="99.42578125" bestFit="1" customWidth="1"/>
    <col min="29" max="29" width="12.5703125" bestFit="1" customWidth="1"/>
    <col min="30" max="30" width="19.7109375" customWidth="1"/>
    <col min="31" max="31" width="24.5703125" bestFit="1" customWidth="1"/>
    <col min="32" max="32" width="19" customWidth="1"/>
    <col min="33" max="33" width="25.28515625" bestFit="1" customWidth="1"/>
    <col min="34" max="34" width="21.85546875" customWidth="1"/>
    <col min="35" max="35" width="22.28515625" customWidth="1"/>
    <col min="36" max="36" width="22.140625" customWidth="1"/>
    <col min="37" max="37" width="25" customWidth="1"/>
    <col min="38" max="38" width="25.42578125" customWidth="1"/>
    <col min="39" max="39" width="19.85546875" customWidth="1"/>
    <col min="40" max="40" width="22.5703125" customWidth="1"/>
    <col min="41" max="41" width="25.42578125" customWidth="1"/>
    <col min="42" max="42" width="25.85546875" customWidth="1"/>
    <col min="43" max="43" width="20.28515625" customWidth="1"/>
    <col min="44" max="44" width="33.140625" bestFit="1" customWidth="1"/>
    <col min="45" max="45" width="25.140625" customWidth="1"/>
    <col min="46" max="46" width="24.85546875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</row>
    <row r="2" spans="1:46" x14ac:dyDescent="0.25">
      <c r="A2" t="s">
        <v>46</v>
      </c>
      <c r="B2" t="s">
        <v>47</v>
      </c>
      <c r="C2" t="s">
        <v>48</v>
      </c>
      <c r="D2" t="s">
        <v>49</v>
      </c>
    </row>
    <row r="3" spans="1:46" x14ac:dyDescent="0.25">
      <c r="A3" t="s">
        <v>50</v>
      </c>
      <c r="B3" t="s">
        <v>47</v>
      </c>
      <c r="E3" t="s">
        <v>51</v>
      </c>
      <c r="F3" t="s">
        <v>723</v>
      </c>
      <c r="G3" t="s">
        <v>52</v>
      </c>
      <c r="H3">
        <v>1</v>
      </c>
      <c r="I3" t="s">
        <v>53</v>
      </c>
      <c r="J3" t="s">
        <v>54</v>
      </c>
      <c r="K3" t="s">
        <v>723</v>
      </c>
      <c r="L3" t="s">
        <v>55</v>
      </c>
      <c r="M3" t="s">
        <v>56</v>
      </c>
      <c r="N3" t="s">
        <v>57</v>
      </c>
      <c r="O3" t="s">
        <v>58</v>
      </c>
      <c r="P3" t="s">
        <v>59</v>
      </c>
      <c r="Q3" t="s">
        <v>60</v>
      </c>
      <c r="R3">
        <v>19</v>
      </c>
      <c r="S3">
        <v>30</v>
      </c>
      <c r="T3">
        <v>43</v>
      </c>
      <c r="U3" t="s">
        <v>61</v>
      </c>
      <c r="V3" t="s">
        <v>62</v>
      </c>
      <c r="W3">
        <v>27</v>
      </c>
      <c r="X3">
        <v>58</v>
      </c>
      <c r="Y3">
        <v>0</v>
      </c>
      <c r="Z3" t="s">
        <v>63</v>
      </c>
      <c r="AA3" t="s">
        <v>64</v>
      </c>
      <c r="AB3" t="s">
        <v>724</v>
      </c>
      <c r="AC3" t="s">
        <v>57</v>
      </c>
      <c r="AD3">
        <v>420</v>
      </c>
      <c r="AE3" t="s">
        <v>65</v>
      </c>
      <c r="AF3">
        <v>5.0000000000000001E-3</v>
      </c>
      <c r="AG3" t="s">
        <v>66</v>
      </c>
      <c r="AS3">
        <v>-2.2999999999999998</v>
      </c>
      <c r="AT3" t="s">
        <v>67</v>
      </c>
    </row>
    <row r="4" spans="1:46" x14ac:dyDescent="0.25">
      <c r="A4" t="s">
        <v>50</v>
      </c>
      <c r="B4" t="s">
        <v>47</v>
      </c>
      <c r="E4" t="s">
        <v>68</v>
      </c>
      <c r="F4" t="s">
        <v>69</v>
      </c>
      <c r="G4" t="s">
        <v>70</v>
      </c>
      <c r="H4">
        <v>1</v>
      </c>
      <c r="I4" t="s">
        <v>71</v>
      </c>
      <c r="J4" t="s">
        <v>54</v>
      </c>
      <c r="K4" t="s">
        <v>69</v>
      </c>
      <c r="L4" t="s">
        <v>55</v>
      </c>
      <c r="M4" t="s">
        <v>72</v>
      </c>
      <c r="N4" t="s">
        <v>57</v>
      </c>
      <c r="O4" t="s">
        <v>73</v>
      </c>
      <c r="P4" t="s">
        <v>74</v>
      </c>
      <c r="Q4" t="s">
        <v>75</v>
      </c>
      <c r="R4">
        <v>3</v>
      </c>
      <c r="S4">
        <v>8</v>
      </c>
      <c r="T4">
        <v>10</v>
      </c>
      <c r="U4" t="s">
        <v>76</v>
      </c>
      <c r="V4" t="s">
        <v>62</v>
      </c>
      <c r="W4">
        <v>40</v>
      </c>
      <c r="X4">
        <v>57</v>
      </c>
      <c r="Y4">
        <v>20</v>
      </c>
      <c r="Z4" t="s">
        <v>77</v>
      </c>
      <c r="AA4" t="s">
        <v>78</v>
      </c>
      <c r="AB4" t="s">
        <v>725</v>
      </c>
      <c r="AC4" t="s">
        <v>57</v>
      </c>
      <c r="AD4">
        <v>93</v>
      </c>
      <c r="AE4" t="s">
        <v>79</v>
      </c>
      <c r="AF4">
        <v>2.9999999999999997E-4</v>
      </c>
      <c r="AG4" t="s">
        <v>80</v>
      </c>
      <c r="AS4">
        <v>-0.2</v>
      </c>
      <c r="AT4" t="s">
        <v>81</v>
      </c>
    </row>
    <row r="5" spans="1:46" x14ac:dyDescent="0.25">
      <c r="A5" t="s">
        <v>50</v>
      </c>
      <c r="B5" t="s">
        <v>47</v>
      </c>
      <c r="E5" t="s">
        <v>82</v>
      </c>
      <c r="F5" t="s">
        <v>83</v>
      </c>
      <c r="G5" t="s">
        <v>70</v>
      </c>
      <c r="H5">
        <v>1</v>
      </c>
      <c r="I5" t="s">
        <v>84</v>
      </c>
      <c r="J5" t="s">
        <v>54</v>
      </c>
      <c r="K5" t="s">
        <v>83</v>
      </c>
      <c r="L5" t="s">
        <v>55</v>
      </c>
      <c r="M5" t="s">
        <v>85</v>
      </c>
      <c r="N5" t="s">
        <v>57</v>
      </c>
      <c r="O5" t="s">
        <v>58</v>
      </c>
      <c r="P5" t="s">
        <v>86</v>
      </c>
      <c r="Q5" t="s">
        <v>75</v>
      </c>
      <c r="R5">
        <v>2</v>
      </c>
      <c r="S5">
        <v>3</v>
      </c>
      <c r="T5">
        <v>54</v>
      </c>
      <c r="U5" t="s">
        <v>87</v>
      </c>
      <c r="V5" t="s">
        <v>62</v>
      </c>
      <c r="W5">
        <v>42</v>
      </c>
      <c r="X5">
        <v>19</v>
      </c>
      <c r="Y5">
        <v>47</v>
      </c>
      <c r="Z5" t="s">
        <v>88</v>
      </c>
      <c r="AA5" t="s">
        <v>89</v>
      </c>
      <c r="AB5" t="s">
        <v>726</v>
      </c>
      <c r="AC5" t="s">
        <v>57</v>
      </c>
      <c r="AD5">
        <v>350</v>
      </c>
      <c r="AE5" t="s">
        <v>90</v>
      </c>
      <c r="AF5">
        <v>1.1800000000000001E-5</v>
      </c>
      <c r="AG5" t="s">
        <v>91</v>
      </c>
      <c r="AS5">
        <v>-0.3</v>
      </c>
      <c r="AT5" t="s">
        <v>92</v>
      </c>
    </row>
    <row r="6" spans="1:46" x14ac:dyDescent="0.25">
      <c r="A6" t="s">
        <v>50</v>
      </c>
      <c r="B6" t="s">
        <v>47</v>
      </c>
      <c r="E6" t="s">
        <v>93</v>
      </c>
      <c r="F6" t="s">
        <v>727</v>
      </c>
      <c r="G6" t="s">
        <v>52</v>
      </c>
      <c r="H6">
        <v>1</v>
      </c>
      <c r="I6" t="s">
        <v>94</v>
      </c>
      <c r="J6" t="s">
        <v>54</v>
      </c>
      <c r="K6" t="s">
        <v>727</v>
      </c>
      <c r="L6" t="s">
        <v>55</v>
      </c>
      <c r="M6" t="s">
        <v>95</v>
      </c>
      <c r="N6" t="s">
        <v>57</v>
      </c>
      <c r="O6" t="s">
        <v>96</v>
      </c>
      <c r="P6" t="s">
        <v>97</v>
      </c>
      <c r="Q6" t="s">
        <v>60</v>
      </c>
      <c r="R6">
        <v>19</v>
      </c>
      <c r="S6">
        <v>50</v>
      </c>
      <c r="T6">
        <v>47</v>
      </c>
      <c r="U6" t="s">
        <v>98</v>
      </c>
      <c r="V6" t="s">
        <v>62</v>
      </c>
      <c r="W6">
        <v>8</v>
      </c>
      <c r="X6">
        <v>52</v>
      </c>
      <c r="Y6">
        <v>6</v>
      </c>
      <c r="Z6" t="s">
        <v>99</v>
      </c>
      <c r="AA6" t="s">
        <v>100</v>
      </c>
      <c r="AB6" t="s">
        <v>728</v>
      </c>
      <c r="AC6" t="s">
        <v>57</v>
      </c>
      <c r="AD6">
        <v>16.7</v>
      </c>
      <c r="AE6" t="s">
        <v>101</v>
      </c>
      <c r="AF6">
        <v>2.65E-7</v>
      </c>
      <c r="AG6" t="s">
        <v>102</v>
      </c>
      <c r="AS6">
        <v>2.2000000000000002</v>
      </c>
      <c r="AT6" t="s">
        <v>103</v>
      </c>
    </row>
    <row r="7" spans="1:46" x14ac:dyDescent="0.25">
      <c r="A7" t="s">
        <v>50</v>
      </c>
      <c r="B7" t="s">
        <v>47</v>
      </c>
      <c r="E7" t="s">
        <v>104</v>
      </c>
      <c r="F7" t="s">
        <v>729</v>
      </c>
      <c r="G7" t="s">
        <v>52</v>
      </c>
      <c r="H7">
        <v>1</v>
      </c>
      <c r="I7" t="s">
        <v>105</v>
      </c>
      <c r="J7" t="s">
        <v>54</v>
      </c>
      <c r="K7" t="s">
        <v>729</v>
      </c>
      <c r="L7" t="s">
        <v>106</v>
      </c>
      <c r="M7" t="s">
        <v>107</v>
      </c>
      <c r="N7" t="s">
        <v>15</v>
      </c>
      <c r="O7" t="s">
        <v>108</v>
      </c>
      <c r="P7" t="s">
        <v>86</v>
      </c>
      <c r="Q7" t="s">
        <v>75</v>
      </c>
      <c r="R7">
        <v>1</v>
      </c>
      <c r="S7">
        <v>0</v>
      </c>
      <c r="T7">
        <v>0</v>
      </c>
      <c r="U7" t="s">
        <v>109</v>
      </c>
      <c r="V7" t="s">
        <v>62</v>
      </c>
      <c r="W7">
        <v>38</v>
      </c>
      <c r="X7">
        <v>0</v>
      </c>
      <c r="Y7">
        <v>0</v>
      </c>
      <c r="Z7" t="s">
        <v>110</v>
      </c>
      <c r="AA7" t="s">
        <v>111</v>
      </c>
      <c r="AB7" t="s">
        <v>730</v>
      </c>
      <c r="AC7" t="s">
        <v>15</v>
      </c>
      <c r="AH7">
        <v>11</v>
      </c>
      <c r="AI7">
        <v>5</v>
      </c>
      <c r="AJ7">
        <v>5</v>
      </c>
      <c r="AK7">
        <v>30</v>
      </c>
      <c r="AL7">
        <v>0</v>
      </c>
      <c r="AM7" t="s">
        <v>112</v>
      </c>
      <c r="AN7">
        <v>2</v>
      </c>
      <c r="AO7">
        <v>30</v>
      </c>
      <c r="AP7">
        <v>0</v>
      </c>
      <c r="AQ7" t="s">
        <v>113</v>
      </c>
      <c r="AR7" t="s">
        <v>114</v>
      </c>
    </row>
    <row r="8" spans="1:46" x14ac:dyDescent="0.25">
      <c r="A8" t="s">
        <v>50</v>
      </c>
      <c r="B8" t="s">
        <v>47</v>
      </c>
      <c r="E8" t="s">
        <v>115</v>
      </c>
      <c r="F8" t="s">
        <v>116</v>
      </c>
      <c r="G8" t="s">
        <v>52</v>
      </c>
      <c r="H8">
        <v>1</v>
      </c>
      <c r="I8" t="s">
        <v>117</v>
      </c>
      <c r="J8" t="s">
        <v>54</v>
      </c>
      <c r="K8" t="s">
        <v>116</v>
      </c>
      <c r="L8" t="s">
        <v>55</v>
      </c>
      <c r="M8" t="s">
        <v>118</v>
      </c>
      <c r="N8" t="s">
        <v>57</v>
      </c>
      <c r="O8" t="s">
        <v>119</v>
      </c>
      <c r="P8" t="s">
        <v>120</v>
      </c>
      <c r="Q8" t="s">
        <v>121</v>
      </c>
      <c r="R8">
        <v>14</v>
      </c>
      <c r="S8">
        <v>15</v>
      </c>
      <c r="T8">
        <v>39.700000000000003</v>
      </c>
      <c r="U8" t="s">
        <v>122</v>
      </c>
      <c r="V8" t="s">
        <v>62</v>
      </c>
      <c r="W8">
        <v>19</v>
      </c>
      <c r="X8">
        <v>10</v>
      </c>
      <c r="Y8">
        <v>57</v>
      </c>
      <c r="Z8" t="s">
        <v>123</v>
      </c>
      <c r="AA8" t="s">
        <v>124</v>
      </c>
      <c r="AB8" t="s">
        <v>731</v>
      </c>
      <c r="AC8" t="s">
        <v>57</v>
      </c>
      <c r="AD8">
        <v>36.700000000000003</v>
      </c>
      <c r="AE8" t="s">
        <v>125</v>
      </c>
      <c r="AF8">
        <v>3.7299999999999999E-6</v>
      </c>
      <c r="AG8" t="s">
        <v>126</v>
      </c>
      <c r="AS8">
        <v>-0.3</v>
      </c>
      <c r="AT8" t="s">
        <v>92</v>
      </c>
    </row>
    <row r="9" spans="1:46" x14ac:dyDescent="0.25">
      <c r="A9" t="s">
        <v>50</v>
      </c>
      <c r="B9" t="s">
        <v>47</v>
      </c>
      <c r="E9" t="s">
        <v>127</v>
      </c>
      <c r="F9" t="s">
        <v>732</v>
      </c>
      <c r="G9" t="s">
        <v>128</v>
      </c>
      <c r="H9">
        <v>1</v>
      </c>
      <c r="I9" t="s">
        <v>129</v>
      </c>
      <c r="J9" t="s">
        <v>54</v>
      </c>
      <c r="K9" t="s">
        <v>732</v>
      </c>
      <c r="L9" t="s">
        <v>130</v>
      </c>
      <c r="M9" t="s">
        <v>131</v>
      </c>
      <c r="N9" t="s">
        <v>132</v>
      </c>
      <c r="O9" t="s">
        <v>133</v>
      </c>
      <c r="P9" t="s">
        <v>134</v>
      </c>
      <c r="Q9" t="s">
        <v>135</v>
      </c>
      <c r="R9">
        <v>0</v>
      </c>
      <c r="S9">
        <v>0</v>
      </c>
      <c r="T9">
        <v>0</v>
      </c>
      <c r="U9" t="s">
        <v>136</v>
      </c>
      <c r="V9" t="s">
        <v>62</v>
      </c>
      <c r="W9">
        <v>70</v>
      </c>
      <c r="X9">
        <v>0</v>
      </c>
      <c r="Y9">
        <v>0</v>
      </c>
      <c r="Z9" t="s">
        <v>137</v>
      </c>
      <c r="AA9" t="s">
        <v>138</v>
      </c>
      <c r="AB9" t="s">
        <v>663</v>
      </c>
      <c r="AC9" t="s">
        <v>132</v>
      </c>
      <c r="AH9">
        <v>120</v>
      </c>
      <c r="AI9">
        <v>60</v>
      </c>
      <c r="AJ9">
        <v>60</v>
      </c>
      <c r="AK9">
        <v>0</v>
      </c>
      <c r="AL9">
        <v>0</v>
      </c>
      <c r="AM9" t="s">
        <v>139</v>
      </c>
      <c r="AN9">
        <v>30</v>
      </c>
      <c r="AO9">
        <v>0</v>
      </c>
      <c r="AP9">
        <v>0</v>
      </c>
      <c r="AQ9" t="s">
        <v>140</v>
      </c>
      <c r="AR9" t="s">
        <v>141</v>
      </c>
    </row>
    <row r="10" spans="1:46" x14ac:dyDescent="0.25">
      <c r="A10" t="s">
        <v>50</v>
      </c>
      <c r="B10" t="s">
        <v>47</v>
      </c>
      <c r="E10" t="s">
        <v>142</v>
      </c>
      <c r="F10" t="s">
        <v>733</v>
      </c>
      <c r="G10" t="s">
        <v>52</v>
      </c>
      <c r="H10">
        <v>1</v>
      </c>
      <c r="I10" t="s">
        <v>143</v>
      </c>
      <c r="J10" t="s">
        <v>54</v>
      </c>
      <c r="K10" t="s">
        <v>733</v>
      </c>
      <c r="L10" t="s">
        <v>55</v>
      </c>
      <c r="M10" t="s">
        <v>144</v>
      </c>
      <c r="N10" t="s">
        <v>57</v>
      </c>
      <c r="O10" t="s">
        <v>145</v>
      </c>
      <c r="P10" t="s">
        <v>146</v>
      </c>
      <c r="Q10" t="s">
        <v>147</v>
      </c>
      <c r="R10">
        <v>5</v>
      </c>
      <c r="S10">
        <v>55</v>
      </c>
      <c r="T10">
        <v>10.3</v>
      </c>
      <c r="U10" t="s">
        <v>148</v>
      </c>
      <c r="V10" t="s">
        <v>62</v>
      </c>
      <c r="W10">
        <v>7</v>
      </c>
      <c r="X10">
        <v>24</v>
      </c>
      <c r="Y10">
        <v>25</v>
      </c>
      <c r="Z10" t="s">
        <v>149</v>
      </c>
      <c r="AA10" t="s">
        <v>150</v>
      </c>
      <c r="AB10" t="s">
        <v>734</v>
      </c>
      <c r="AC10" t="s">
        <v>57</v>
      </c>
      <c r="AD10">
        <v>548</v>
      </c>
      <c r="AE10" t="s">
        <v>151</v>
      </c>
      <c r="AF10">
        <v>1.1E-4</v>
      </c>
      <c r="AG10" t="s">
        <v>152</v>
      </c>
      <c r="AS10">
        <v>-5.85</v>
      </c>
      <c r="AT10" t="s">
        <v>153</v>
      </c>
    </row>
    <row r="11" spans="1:46" x14ac:dyDescent="0.25">
      <c r="A11" t="s">
        <v>50</v>
      </c>
      <c r="B11" t="s">
        <v>47</v>
      </c>
      <c r="E11" t="s">
        <v>154</v>
      </c>
      <c r="F11" t="s">
        <v>155</v>
      </c>
      <c r="G11" t="s">
        <v>52</v>
      </c>
      <c r="H11">
        <v>1</v>
      </c>
      <c r="I11" t="s">
        <v>156</v>
      </c>
      <c r="J11" t="s">
        <v>54</v>
      </c>
      <c r="K11" t="s">
        <v>155</v>
      </c>
      <c r="L11" t="s">
        <v>55</v>
      </c>
      <c r="M11" t="s">
        <v>157</v>
      </c>
      <c r="N11" t="s">
        <v>57</v>
      </c>
      <c r="O11" t="s">
        <v>158</v>
      </c>
      <c r="P11" t="s">
        <v>159</v>
      </c>
      <c r="Q11" t="s">
        <v>147</v>
      </c>
      <c r="R11">
        <v>5</v>
      </c>
      <c r="S11">
        <v>16</v>
      </c>
      <c r="T11">
        <v>41</v>
      </c>
      <c r="U11" t="s">
        <v>160</v>
      </c>
      <c r="V11" t="s">
        <v>62</v>
      </c>
      <c r="W11">
        <v>45</v>
      </c>
      <c r="X11">
        <v>59</v>
      </c>
      <c r="Y11">
        <v>53</v>
      </c>
      <c r="Z11" t="s">
        <v>161</v>
      </c>
      <c r="AA11" t="s">
        <v>162</v>
      </c>
      <c r="AB11" t="s">
        <v>735</v>
      </c>
      <c r="AC11" t="s">
        <v>57</v>
      </c>
      <c r="AD11">
        <v>42.9</v>
      </c>
      <c r="AE11" t="s">
        <v>163</v>
      </c>
      <c r="AF11">
        <v>1.7600000000000001E-6</v>
      </c>
      <c r="AG11" t="s">
        <v>164</v>
      </c>
      <c r="AS11">
        <v>0.3</v>
      </c>
      <c r="AT11" t="s">
        <v>165</v>
      </c>
    </row>
    <row r="12" spans="1:46" x14ac:dyDescent="0.25">
      <c r="A12" t="s">
        <v>50</v>
      </c>
      <c r="B12" t="s">
        <v>47</v>
      </c>
      <c r="E12" t="s">
        <v>166</v>
      </c>
      <c r="F12" t="s">
        <v>736</v>
      </c>
      <c r="G12" t="s">
        <v>52</v>
      </c>
      <c r="H12">
        <v>1</v>
      </c>
      <c r="I12" t="s">
        <v>168</v>
      </c>
      <c r="J12" t="s">
        <v>54</v>
      </c>
      <c r="K12" t="s">
        <v>736</v>
      </c>
      <c r="L12" t="s">
        <v>106</v>
      </c>
      <c r="M12" t="s">
        <v>169</v>
      </c>
      <c r="N12" t="s">
        <v>15</v>
      </c>
      <c r="O12" t="s">
        <v>108</v>
      </c>
      <c r="P12" t="s">
        <v>167</v>
      </c>
      <c r="Q12" t="s">
        <v>75</v>
      </c>
      <c r="R12">
        <v>1</v>
      </c>
      <c r="S12">
        <v>0</v>
      </c>
      <c r="T12">
        <v>0</v>
      </c>
      <c r="U12" t="s">
        <v>109</v>
      </c>
      <c r="V12" t="s">
        <v>62</v>
      </c>
      <c r="W12">
        <v>60</v>
      </c>
      <c r="X12">
        <v>0</v>
      </c>
      <c r="Y12">
        <v>0</v>
      </c>
      <c r="Z12" t="s">
        <v>170</v>
      </c>
      <c r="AA12" t="s">
        <v>171</v>
      </c>
      <c r="AB12" t="s">
        <v>737</v>
      </c>
      <c r="AC12" t="s">
        <v>15</v>
      </c>
      <c r="AH12">
        <v>10</v>
      </c>
      <c r="AI12">
        <v>7</v>
      </c>
      <c r="AJ12">
        <v>5</v>
      </c>
      <c r="AK12">
        <v>0</v>
      </c>
      <c r="AL12">
        <v>0</v>
      </c>
      <c r="AM12" t="s">
        <v>172</v>
      </c>
      <c r="AN12">
        <v>3</v>
      </c>
      <c r="AO12">
        <v>30</v>
      </c>
      <c r="AP12">
        <v>0</v>
      </c>
      <c r="AQ12" t="s">
        <v>173</v>
      </c>
      <c r="AR12" t="s">
        <v>174</v>
      </c>
    </row>
    <row r="13" spans="1:46" x14ac:dyDescent="0.25">
      <c r="A13" t="s">
        <v>50</v>
      </c>
      <c r="B13" t="s">
        <v>47</v>
      </c>
      <c r="E13" t="s">
        <v>175</v>
      </c>
      <c r="F13" t="s">
        <v>176</v>
      </c>
      <c r="G13" t="s">
        <v>70</v>
      </c>
      <c r="H13">
        <v>1</v>
      </c>
      <c r="I13" t="s">
        <v>177</v>
      </c>
      <c r="J13" t="s">
        <v>54</v>
      </c>
      <c r="K13" t="s">
        <v>176</v>
      </c>
      <c r="L13" t="s">
        <v>178</v>
      </c>
      <c r="M13" t="s">
        <v>179</v>
      </c>
      <c r="N13" t="s">
        <v>180</v>
      </c>
      <c r="O13" t="s">
        <v>181</v>
      </c>
      <c r="P13" t="s">
        <v>182</v>
      </c>
      <c r="Q13" t="s">
        <v>60</v>
      </c>
      <c r="R13">
        <v>19</v>
      </c>
      <c r="S13">
        <v>26</v>
      </c>
      <c r="T13">
        <v>0</v>
      </c>
      <c r="U13" t="s">
        <v>183</v>
      </c>
      <c r="V13" t="s">
        <v>62</v>
      </c>
      <c r="W13">
        <v>20</v>
      </c>
      <c r="X13">
        <v>11</v>
      </c>
      <c r="Y13">
        <v>0</v>
      </c>
      <c r="Z13" t="s">
        <v>184</v>
      </c>
      <c r="AA13" t="s">
        <v>185</v>
      </c>
      <c r="AB13" t="s">
        <v>664</v>
      </c>
      <c r="AC13" t="s">
        <v>180</v>
      </c>
      <c r="AD13">
        <v>420</v>
      </c>
      <c r="AE13" t="s">
        <v>65</v>
      </c>
      <c r="AF13">
        <v>30</v>
      </c>
      <c r="AG13" t="s">
        <v>186</v>
      </c>
      <c r="AH13">
        <v>2.5</v>
      </c>
      <c r="AI13">
        <v>1.3</v>
      </c>
      <c r="AJ13">
        <v>1</v>
      </c>
      <c r="AK13">
        <v>16</v>
      </c>
      <c r="AL13">
        <v>0</v>
      </c>
      <c r="AM13" t="s">
        <v>187</v>
      </c>
      <c r="AN13">
        <v>0</v>
      </c>
      <c r="AO13">
        <v>40</v>
      </c>
      <c r="AP13">
        <v>0</v>
      </c>
      <c r="AQ13" t="s">
        <v>188</v>
      </c>
      <c r="AR13" t="s">
        <v>189</v>
      </c>
      <c r="AS13">
        <v>-1</v>
      </c>
      <c r="AT13" t="s">
        <v>190</v>
      </c>
    </row>
    <row r="14" spans="1:46" x14ac:dyDescent="0.25">
      <c r="A14" t="s">
        <v>50</v>
      </c>
      <c r="B14" t="s">
        <v>47</v>
      </c>
      <c r="E14" t="s">
        <v>191</v>
      </c>
      <c r="F14" t="s">
        <v>738</v>
      </c>
      <c r="G14" t="s">
        <v>128</v>
      </c>
      <c r="H14">
        <v>1</v>
      </c>
      <c r="I14" t="s">
        <v>192</v>
      </c>
      <c r="J14" t="s">
        <v>54</v>
      </c>
      <c r="K14" t="s">
        <v>738</v>
      </c>
      <c r="L14" t="s">
        <v>193</v>
      </c>
      <c r="M14" t="s">
        <v>194</v>
      </c>
      <c r="N14" t="s">
        <v>132</v>
      </c>
      <c r="O14" t="s">
        <v>195</v>
      </c>
      <c r="P14" t="s">
        <v>196</v>
      </c>
      <c r="Q14" t="s">
        <v>60</v>
      </c>
      <c r="R14">
        <v>0</v>
      </c>
      <c r="S14">
        <v>0</v>
      </c>
      <c r="T14">
        <v>0</v>
      </c>
      <c r="U14" t="s">
        <v>136</v>
      </c>
      <c r="V14" t="s">
        <v>62</v>
      </c>
      <c r="W14">
        <v>0</v>
      </c>
      <c r="X14">
        <v>0</v>
      </c>
      <c r="Y14">
        <v>0</v>
      </c>
      <c r="Z14" t="s">
        <v>197</v>
      </c>
      <c r="AA14" t="s">
        <v>198</v>
      </c>
      <c r="AB14" t="s">
        <v>665</v>
      </c>
      <c r="AC14" t="s">
        <v>132</v>
      </c>
    </row>
    <row r="15" spans="1:46" x14ac:dyDescent="0.25">
      <c r="A15" t="s">
        <v>50</v>
      </c>
      <c r="B15" t="s">
        <v>47</v>
      </c>
      <c r="E15" t="s">
        <v>199</v>
      </c>
      <c r="F15" t="s">
        <v>59</v>
      </c>
      <c r="G15" t="s">
        <v>52</v>
      </c>
      <c r="H15">
        <v>1</v>
      </c>
      <c r="I15" t="s">
        <v>200</v>
      </c>
      <c r="J15" t="s">
        <v>54</v>
      </c>
      <c r="K15" t="s">
        <v>59</v>
      </c>
      <c r="L15" t="s">
        <v>106</v>
      </c>
      <c r="M15" t="s">
        <v>201</v>
      </c>
      <c r="N15" t="s">
        <v>15</v>
      </c>
      <c r="O15" t="s">
        <v>108</v>
      </c>
      <c r="P15" t="s">
        <v>59</v>
      </c>
      <c r="Q15" t="s">
        <v>60</v>
      </c>
      <c r="R15">
        <v>20</v>
      </c>
      <c r="S15">
        <v>30</v>
      </c>
      <c r="T15">
        <v>0</v>
      </c>
      <c r="U15" t="s">
        <v>202</v>
      </c>
      <c r="V15" t="s">
        <v>62</v>
      </c>
      <c r="W15">
        <v>42</v>
      </c>
      <c r="X15">
        <v>0</v>
      </c>
      <c r="Y15">
        <v>0</v>
      </c>
      <c r="Z15" t="s">
        <v>203</v>
      </c>
      <c r="AA15" t="s">
        <v>204</v>
      </c>
      <c r="AB15" t="s">
        <v>666</v>
      </c>
      <c r="AC15" t="s">
        <v>15</v>
      </c>
      <c r="AH15">
        <v>12</v>
      </c>
      <c r="AI15">
        <v>9</v>
      </c>
      <c r="AJ15">
        <v>6</v>
      </c>
      <c r="AK15">
        <v>0</v>
      </c>
      <c r="AL15">
        <v>0</v>
      </c>
      <c r="AM15" t="s">
        <v>205</v>
      </c>
      <c r="AN15">
        <v>4</v>
      </c>
      <c r="AO15">
        <v>30</v>
      </c>
      <c r="AP15">
        <v>0</v>
      </c>
      <c r="AQ15" t="s">
        <v>206</v>
      </c>
      <c r="AR15" t="s">
        <v>207</v>
      </c>
    </row>
    <row r="16" spans="1:46" x14ac:dyDescent="0.25">
      <c r="A16" t="s">
        <v>50</v>
      </c>
      <c r="B16" t="s">
        <v>47</v>
      </c>
      <c r="E16" t="s">
        <v>208</v>
      </c>
      <c r="F16" t="s">
        <v>739</v>
      </c>
      <c r="G16" t="s">
        <v>52</v>
      </c>
      <c r="H16">
        <v>1</v>
      </c>
      <c r="I16" t="s">
        <v>209</v>
      </c>
      <c r="J16" t="s">
        <v>54</v>
      </c>
      <c r="K16" t="s">
        <v>739</v>
      </c>
      <c r="L16" t="s">
        <v>210</v>
      </c>
      <c r="M16" t="s">
        <v>211</v>
      </c>
      <c r="N16" t="s">
        <v>180</v>
      </c>
      <c r="O16" t="s">
        <v>212</v>
      </c>
      <c r="P16" t="s">
        <v>74</v>
      </c>
      <c r="Q16" t="s">
        <v>75</v>
      </c>
      <c r="R16">
        <v>2</v>
      </c>
      <c r="S16">
        <v>21</v>
      </c>
      <c r="T16">
        <v>0</v>
      </c>
      <c r="U16" t="s">
        <v>213</v>
      </c>
      <c r="V16" t="s">
        <v>62</v>
      </c>
      <c r="W16">
        <v>57</v>
      </c>
      <c r="X16">
        <v>8</v>
      </c>
      <c r="Y16">
        <v>0</v>
      </c>
      <c r="Z16" t="s">
        <v>214</v>
      </c>
      <c r="AA16" t="s">
        <v>215</v>
      </c>
      <c r="AB16" t="s">
        <v>740</v>
      </c>
      <c r="AC16" t="s">
        <v>180</v>
      </c>
      <c r="AD16">
        <v>7500</v>
      </c>
      <c r="AE16" t="s">
        <v>216</v>
      </c>
      <c r="AF16">
        <v>70</v>
      </c>
      <c r="AG16" t="s">
        <v>217</v>
      </c>
      <c r="AH16">
        <v>2</v>
      </c>
      <c r="AI16">
        <v>1</v>
      </c>
      <c r="AJ16">
        <v>1</v>
      </c>
      <c r="AK16">
        <v>0</v>
      </c>
      <c r="AL16">
        <v>0</v>
      </c>
      <c r="AM16" t="s">
        <v>218</v>
      </c>
      <c r="AN16">
        <v>0</v>
      </c>
      <c r="AO16">
        <v>30</v>
      </c>
      <c r="AP16">
        <v>0</v>
      </c>
      <c r="AQ16" t="s">
        <v>219</v>
      </c>
      <c r="AR16" t="s">
        <v>220</v>
      </c>
      <c r="AS16">
        <v>-3.7</v>
      </c>
      <c r="AT16" t="s">
        <v>221</v>
      </c>
    </row>
    <row r="17" spans="1:46" x14ac:dyDescent="0.25">
      <c r="A17" t="s">
        <v>50</v>
      </c>
      <c r="B17" t="s">
        <v>47</v>
      </c>
      <c r="E17" t="s">
        <v>222</v>
      </c>
      <c r="F17" t="s">
        <v>741</v>
      </c>
      <c r="G17" t="s">
        <v>52</v>
      </c>
      <c r="H17">
        <v>1</v>
      </c>
      <c r="I17" t="s">
        <v>224</v>
      </c>
      <c r="J17" t="s">
        <v>54</v>
      </c>
      <c r="K17" t="s">
        <v>741</v>
      </c>
      <c r="L17" t="s">
        <v>106</v>
      </c>
      <c r="M17" t="s">
        <v>225</v>
      </c>
      <c r="N17" t="s">
        <v>15</v>
      </c>
      <c r="O17" t="s">
        <v>108</v>
      </c>
      <c r="P17" t="s">
        <v>223</v>
      </c>
      <c r="Q17" t="s">
        <v>147</v>
      </c>
      <c r="R17">
        <v>7</v>
      </c>
      <c r="S17">
        <v>0</v>
      </c>
      <c r="T17">
        <v>0</v>
      </c>
      <c r="U17" t="s">
        <v>226</v>
      </c>
      <c r="V17" t="s">
        <v>62</v>
      </c>
      <c r="W17">
        <v>22</v>
      </c>
      <c r="X17">
        <v>0</v>
      </c>
      <c r="Y17">
        <v>0</v>
      </c>
      <c r="Z17" t="s">
        <v>227</v>
      </c>
      <c r="AA17" t="s">
        <v>228</v>
      </c>
      <c r="AB17" t="s">
        <v>667</v>
      </c>
      <c r="AC17" t="s">
        <v>15</v>
      </c>
      <c r="AH17">
        <v>9</v>
      </c>
      <c r="AI17">
        <v>6</v>
      </c>
      <c r="AJ17">
        <v>4</v>
      </c>
      <c r="AK17">
        <v>30</v>
      </c>
      <c r="AL17">
        <v>0</v>
      </c>
      <c r="AM17" t="s">
        <v>206</v>
      </c>
      <c r="AN17">
        <v>3</v>
      </c>
      <c r="AO17">
        <v>0</v>
      </c>
      <c r="AP17">
        <v>0</v>
      </c>
      <c r="AQ17" t="s">
        <v>229</v>
      </c>
      <c r="AR17" t="s">
        <v>230</v>
      </c>
    </row>
    <row r="18" spans="1:46" x14ac:dyDescent="0.25">
      <c r="A18" t="s">
        <v>50</v>
      </c>
      <c r="B18" t="s">
        <v>47</v>
      </c>
      <c r="E18" t="s">
        <v>231</v>
      </c>
      <c r="F18" t="s">
        <v>742</v>
      </c>
      <c r="G18" t="s">
        <v>70</v>
      </c>
      <c r="H18">
        <v>1</v>
      </c>
      <c r="I18" t="s">
        <v>232</v>
      </c>
      <c r="J18" t="s">
        <v>54</v>
      </c>
      <c r="K18" t="s">
        <v>742</v>
      </c>
      <c r="L18" t="s">
        <v>233</v>
      </c>
      <c r="M18" t="s">
        <v>225</v>
      </c>
      <c r="N18" t="s">
        <v>132</v>
      </c>
      <c r="O18" t="s">
        <v>234</v>
      </c>
      <c r="P18" t="s">
        <v>223</v>
      </c>
      <c r="Q18" t="s">
        <v>147</v>
      </c>
      <c r="R18">
        <v>7</v>
      </c>
      <c r="S18">
        <v>30</v>
      </c>
      <c r="T18">
        <v>0</v>
      </c>
      <c r="U18" t="s">
        <v>235</v>
      </c>
      <c r="V18" t="s">
        <v>62</v>
      </c>
      <c r="W18">
        <v>32</v>
      </c>
      <c r="X18">
        <v>0</v>
      </c>
      <c r="Y18">
        <v>0</v>
      </c>
      <c r="Z18" t="s">
        <v>236</v>
      </c>
      <c r="AA18" t="s">
        <v>237</v>
      </c>
      <c r="AB18" t="s">
        <v>668</v>
      </c>
      <c r="AC18" t="s">
        <v>132</v>
      </c>
      <c r="AH18">
        <v>180</v>
      </c>
      <c r="AI18">
        <v>90</v>
      </c>
      <c r="AJ18">
        <v>90</v>
      </c>
      <c r="AK18">
        <v>0</v>
      </c>
      <c r="AL18">
        <v>0</v>
      </c>
      <c r="AM18" t="s">
        <v>238</v>
      </c>
      <c r="AN18">
        <v>45</v>
      </c>
      <c r="AO18">
        <v>0</v>
      </c>
      <c r="AP18">
        <v>0</v>
      </c>
      <c r="AQ18" t="s">
        <v>239</v>
      </c>
      <c r="AR18" t="s">
        <v>240</v>
      </c>
    </row>
    <row r="19" spans="1:46" x14ac:dyDescent="0.25">
      <c r="A19" t="s">
        <v>50</v>
      </c>
      <c r="B19" t="s">
        <v>47</v>
      </c>
      <c r="E19" t="s">
        <v>241</v>
      </c>
      <c r="F19" t="s">
        <v>743</v>
      </c>
      <c r="G19" t="s">
        <v>128</v>
      </c>
      <c r="H19">
        <v>1</v>
      </c>
      <c r="I19" t="s">
        <v>242</v>
      </c>
      <c r="J19" t="s">
        <v>54</v>
      </c>
      <c r="K19" t="s">
        <v>743</v>
      </c>
      <c r="L19" t="s">
        <v>243</v>
      </c>
      <c r="M19" t="s">
        <v>244</v>
      </c>
      <c r="N19" t="s">
        <v>132</v>
      </c>
      <c r="O19" t="s">
        <v>245</v>
      </c>
      <c r="P19" t="s">
        <v>196</v>
      </c>
      <c r="Q19" t="s">
        <v>196</v>
      </c>
      <c r="R19">
        <v>0</v>
      </c>
      <c r="S19">
        <v>0</v>
      </c>
      <c r="T19">
        <v>0</v>
      </c>
      <c r="U19" t="s">
        <v>136</v>
      </c>
      <c r="V19" t="s">
        <v>62</v>
      </c>
      <c r="W19">
        <v>0</v>
      </c>
      <c r="X19">
        <v>0</v>
      </c>
      <c r="Y19">
        <v>0</v>
      </c>
      <c r="Z19" t="s">
        <v>197</v>
      </c>
      <c r="AA19" t="s">
        <v>198</v>
      </c>
      <c r="AB19" t="s">
        <v>669</v>
      </c>
      <c r="AC19" t="s">
        <v>132</v>
      </c>
    </row>
    <row r="20" spans="1:46" x14ac:dyDescent="0.25">
      <c r="A20" t="s">
        <v>50</v>
      </c>
      <c r="B20" t="s">
        <v>47</v>
      </c>
      <c r="E20" t="s">
        <v>246</v>
      </c>
      <c r="F20" t="s">
        <v>247</v>
      </c>
      <c r="G20" t="s">
        <v>52</v>
      </c>
      <c r="H20">
        <v>1</v>
      </c>
      <c r="I20" t="s">
        <v>248</v>
      </c>
      <c r="J20" t="s">
        <v>54</v>
      </c>
      <c r="K20" t="s">
        <v>247</v>
      </c>
      <c r="L20" t="s">
        <v>249</v>
      </c>
      <c r="M20" t="s">
        <v>250</v>
      </c>
      <c r="N20" t="s">
        <v>180</v>
      </c>
      <c r="O20" t="s">
        <v>251</v>
      </c>
      <c r="P20" t="s">
        <v>252</v>
      </c>
      <c r="Q20" t="s">
        <v>147</v>
      </c>
      <c r="R20">
        <v>4</v>
      </c>
      <c r="S20">
        <v>27</v>
      </c>
      <c r="T20">
        <v>0</v>
      </c>
      <c r="U20" t="s">
        <v>253</v>
      </c>
      <c r="V20" t="s">
        <v>62</v>
      </c>
      <c r="W20">
        <v>16</v>
      </c>
      <c r="X20">
        <v>0</v>
      </c>
      <c r="Y20">
        <v>0</v>
      </c>
      <c r="Z20" t="s">
        <v>254</v>
      </c>
      <c r="AA20" t="s">
        <v>255</v>
      </c>
      <c r="AB20" t="s">
        <v>744</v>
      </c>
      <c r="AC20" t="s">
        <v>180</v>
      </c>
      <c r="AD20">
        <v>153</v>
      </c>
      <c r="AE20" t="s">
        <v>256</v>
      </c>
      <c r="AF20">
        <v>75</v>
      </c>
      <c r="AG20" t="s">
        <v>257</v>
      </c>
      <c r="AH20">
        <v>11</v>
      </c>
      <c r="AI20">
        <v>5</v>
      </c>
      <c r="AJ20">
        <v>5</v>
      </c>
      <c r="AK20">
        <v>30</v>
      </c>
      <c r="AL20">
        <v>0</v>
      </c>
      <c r="AM20" t="s">
        <v>112</v>
      </c>
      <c r="AN20">
        <v>2</v>
      </c>
      <c r="AO20">
        <v>30</v>
      </c>
      <c r="AP20">
        <v>0</v>
      </c>
      <c r="AQ20" t="s">
        <v>113</v>
      </c>
      <c r="AR20" t="s">
        <v>114</v>
      </c>
      <c r="AS20">
        <v>-2.7</v>
      </c>
      <c r="AT20" t="s">
        <v>258</v>
      </c>
    </row>
    <row r="21" spans="1:46" x14ac:dyDescent="0.25">
      <c r="A21" t="s">
        <v>50</v>
      </c>
      <c r="B21" t="s">
        <v>47</v>
      </c>
      <c r="E21" t="s">
        <v>259</v>
      </c>
      <c r="F21" t="s">
        <v>745</v>
      </c>
      <c r="G21" t="s">
        <v>70</v>
      </c>
      <c r="H21">
        <v>1</v>
      </c>
      <c r="I21" t="s">
        <v>260</v>
      </c>
      <c r="J21" t="s">
        <v>54</v>
      </c>
      <c r="K21" t="s">
        <v>745</v>
      </c>
      <c r="L21" t="s">
        <v>233</v>
      </c>
      <c r="M21" t="s">
        <v>261</v>
      </c>
      <c r="N21" t="s">
        <v>132</v>
      </c>
      <c r="O21" t="s">
        <v>234</v>
      </c>
      <c r="P21" t="s">
        <v>262</v>
      </c>
      <c r="Q21" t="s">
        <v>75</v>
      </c>
      <c r="R21">
        <v>10</v>
      </c>
      <c r="S21">
        <v>8</v>
      </c>
      <c r="T21">
        <v>0</v>
      </c>
      <c r="U21" t="s">
        <v>263</v>
      </c>
      <c r="V21" t="s">
        <v>62</v>
      </c>
      <c r="W21">
        <v>22</v>
      </c>
      <c r="X21">
        <v>0</v>
      </c>
      <c r="Y21">
        <v>0</v>
      </c>
      <c r="Z21" t="s">
        <v>227</v>
      </c>
      <c r="AA21" t="s">
        <v>264</v>
      </c>
      <c r="AB21" t="s">
        <v>746</v>
      </c>
      <c r="AC21" t="s">
        <v>132</v>
      </c>
      <c r="AH21">
        <v>174.19</v>
      </c>
      <c r="AI21">
        <v>87.1</v>
      </c>
      <c r="AJ21">
        <v>90</v>
      </c>
      <c r="AK21">
        <v>0</v>
      </c>
      <c r="AL21">
        <v>0</v>
      </c>
      <c r="AM21" t="s">
        <v>238</v>
      </c>
      <c r="AN21">
        <v>45</v>
      </c>
      <c r="AO21">
        <v>0</v>
      </c>
      <c r="AP21">
        <v>0</v>
      </c>
      <c r="AQ21" t="s">
        <v>239</v>
      </c>
      <c r="AR21" t="s">
        <v>265</v>
      </c>
    </row>
    <row r="22" spans="1:46" x14ac:dyDescent="0.25">
      <c r="A22" t="s">
        <v>50</v>
      </c>
      <c r="B22" t="s">
        <v>47</v>
      </c>
      <c r="E22" t="s">
        <v>266</v>
      </c>
      <c r="F22" t="s">
        <v>267</v>
      </c>
      <c r="G22" t="s">
        <v>52</v>
      </c>
      <c r="H22">
        <v>1</v>
      </c>
      <c r="I22" t="s">
        <v>268</v>
      </c>
      <c r="J22" t="s">
        <v>54</v>
      </c>
      <c r="K22" t="s">
        <v>267</v>
      </c>
      <c r="L22" t="s">
        <v>106</v>
      </c>
      <c r="M22" t="s">
        <v>269</v>
      </c>
      <c r="N22" t="s">
        <v>15</v>
      </c>
      <c r="O22" t="s">
        <v>108</v>
      </c>
      <c r="P22" t="s">
        <v>267</v>
      </c>
      <c r="Q22" t="s">
        <v>60</v>
      </c>
      <c r="R22">
        <v>18</v>
      </c>
      <c r="S22">
        <v>50</v>
      </c>
      <c r="T22">
        <v>0</v>
      </c>
      <c r="U22" t="s">
        <v>270</v>
      </c>
      <c r="V22" t="s">
        <v>62</v>
      </c>
      <c r="W22">
        <v>36</v>
      </c>
      <c r="X22">
        <v>40</v>
      </c>
      <c r="Y22">
        <v>0</v>
      </c>
      <c r="Z22" t="s">
        <v>271</v>
      </c>
      <c r="AA22" t="s">
        <v>272</v>
      </c>
      <c r="AB22" t="s">
        <v>670</v>
      </c>
      <c r="AC22" t="s">
        <v>15</v>
      </c>
      <c r="AH22">
        <v>7.74</v>
      </c>
      <c r="AI22">
        <v>5.81</v>
      </c>
      <c r="AJ22">
        <v>4</v>
      </c>
      <c r="AK22">
        <v>0</v>
      </c>
      <c r="AL22">
        <v>0</v>
      </c>
      <c r="AM22" t="s">
        <v>273</v>
      </c>
      <c r="AN22">
        <v>3</v>
      </c>
      <c r="AO22">
        <v>0</v>
      </c>
      <c r="AP22">
        <v>0</v>
      </c>
      <c r="AQ22" t="s">
        <v>229</v>
      </c>
      <c r="AR22" t="s">
        <v>274</v>
      </c>
    </row>
    <row r="23" spans="1:46" x14ac:dyDescent="0.25">
      <c r="A23" t="s">
        <v>50</v>
      </c>
      <c r="B23" t="s">
        <v>47</v>
      </c>
      <c r="E23" t="s">
        <v>275</v>
      </c>
      <c r="F23" t="s">
        <v>276</v>
      </c>
      <c r="G23" t="s">
        <v>70</v>
      </c>
      <c r="H23">
        <v>1</v>
      </c>
      <c r="I23" t="s">
        <v>277</v>
      </c>
      <c r="J23" t="s">
        <v>54</v>
      </c>
      <c r="K23" t="s">
        <v>276</v>
      </c>
      <c r="L23" t="s">
        <v>278</v>
      </c>
      <c r="M23" t="s">
        <v>279</v>
      </c>
      <c r="N23" t="s">
        <v>180</v>
      </c>
      <c r="O23" t="s">
        <v>251</v>
      </c>
      <c r="P23" t="s">
        <v>280</v>
      </c>
      <c r="Q23" t="s">
        <v>60</v>
      </c>
      <c r="R23">
        <v>18</v>
      </c>
      <c r="S23">
        <v>51</v>
      </c>
      <c r="T23">
        <v>6</v>
      </c>
      <c r="U23" t="s">
        <v>281</v>
      </c>
      <c r="V23" t="s">
        <v>282</v>
      </c>
      <c r="W23">
        <v>6</v>
      </c>
      <c r="X23">
        <v>16</v>
      </c>
      <c r="Y23">
        <v>0</v>
      </c>
      <c r="Z23" t="s">
        <v>283</v>
      </c>
      <c r="AA23" t="s">
        <v>284</v>
      </c>
      <c r="AB23" t="s">
        <v>747</v>
      </c>
      <c r="AC23" t="s">
        <v>180</v>
      </c>
      <c r="AD23">
        <v>6120</v>
      </c>
      <c r="AE23" t="s">
        <v>285</v>
      </c>
      <c r="AF23">
        <v>20</v>
      </c>
      <c r="AG23" t="s">
        <v>286</v>
      </c>
      <c r="AH23">
        <v>0.45</v>
      </c>
      <c r="AI23">
        <v>0.45</v>
      </c>
      <c r="AJ23">
        <v>0</v>
      </c>
      <c r="AK23">
        <v>14</v>
      </c>
      <c r="AL23">
        <v>0</v>
      </c>
      <c r="AM23" t="s">
        <v>287</v>
      </c>
      <c r="AN23">
        <v>0</v>
      </c>
      <c r="AO23">
        <v>14</v>
      </c>
      <c r="AP23">
        <v>0</v>
      </c>
      <c r="AQ23" t="s">
        <v>287</v>
      </c>
      <c r="AR23" t="s">
        <v>288</v>
      </c>
      <c r="AS23">
        <v>-6.3</v>
      </c>
      <c r="AT23" t="s">
        <v>289</v>
      </c>
    </row>
    <row r="24" spans="1:46" x14ac:dyDescent="0.25">
      <c r="A24" t="s">
        <v>50</v>
      </c>
      <c r="B24" t="s">
        <v>47</v>
      </c>
      <c r="E24" t="s">
        <v>290</v>
      </c>
      <c r="F24" t="s">
        <v>291</v>
      </c>
      <c r="G24" t="s">
        <v>70</v>
      </c>
      <c r="H24">
        <v>1</v>
      </c>
      <c r="I24" t="s">
        <v>292</v>
      </c>
      <c r="J24" t="s">
        <v>54</v>
      </c>
      <c r="K24" t="s">
        <v>291</v>
      </c>
      <c r="L24" t="s">
        <v>278</v>
      </c>
      <c r="M24" t="s">
        <v>293</v>
      </c>
      <c r="N24" t="s">
        <v>180</v>
      </c>
      <c r="O24" t="s">
        <v>294</v>
      </c>
      <c r="P24" t="s">
        <v>295</v>
      </c>
      <c r="Q24" t="s">
        <v>60</v>
      </c>
      <c r="R24">
        <v>16</v>
      </c>
      <c r="S24">
        <v>41</v>
      </c>
      <c r="T24">
        <v>41</v>
      </c>
      <c r="U24" t="s">
        <v>296</v>
      </c>
      <c r="V24" t="s">
        <v>62</v>
      </c>
      <c r="W24">
        <v>36</v>
      </c>
      <c r="X24">
        <v>28</v>
      </c>
      <c r="Y24">
        <v>0</v>
      </c>
      <c r="Z24" t="s">
        <v>297</v>
      </c>
      <c r="AA24" t="s">
        <v>298</v>
      </c>
      <c r="AB24" t="s">
        <v>671</v>
      </c>
      <c r="AC24" t="s">
        <v>180</v>
      </c>
      <c r="AD24">
        <v>25000</v>
      </c>
      <c r="AE24" t="s">
        <v>299</v>
      </c>
      <c r="AF24">
        <v>145</v>
      </c>
      <c r="AG24" t="s">
        <v>300</v>
      </c>
      <c r="AH24">
        <v>0.65</v>
      </c>
      <c r="AI24">
        <v>0.65</v>
      </c>
      <c r="AJ24">
        <v>0</v>
      </c>
      <c r="AK24">
        <v>20</v>
      </c>
      <c r="AL24">
        <v>0</v>
      </c>
      <c r="AM24" t="s">
        <v>301</v>
      </c>
      <c r="AN24">
        <v>0</v>
      </c>
      <c r="AO24">
        <v>20</v>
      </c>
      <c r="AP24">
        <v>0</v>
      </c>
      <c r="AQ24" t="s">
        <v>301</v>
      </c>
      <c r="AR24" t="s">
        <v>302</v>
      </c>
      <c r="AS24">
        <v>-8.5</v>
      </c>
      <c r="AT24" t="s">
        <v>303</v>
      </c>
    </row>
    <row r="25" spans="1:46" x14ac:dyDescent="0.25">
      <c r="A25" t="s">
        <v>50</v>
      </c>
      <c r="B25" t="s">
        <v>47</v>
      </c>
      <c r="E25" t="s">
        <v>304</v>
      </c>
      <c r="F25" t="s">
        <v>748</v>
      </c>
      <c r="G25" t="s">
        <v>305</v>
      </c>
      <c r="H25">
        <v>1</v>
      </c>
      <c r="I25" t="s">
        <v>306</v>
      </c>
      <c r="J25" t="s">
        <v>54</v>
      </c>
      <c r="K25" t="s">
        <v>748</v>
      </c>
      <c r="L25" t="s">
        <v>278</v>
      </c>
      <c r="M25" t="s">
        <v>307</v>
      </c>
      <c r="N25" t="s">
        <v>180</v>
      </c>
      <c r="O25" t="s">
        <v>308</v>
      </c>
      <c r="P25" t="s">
        <v>309</v>
      </c>
      <c r="Q25" t="s">
        <v>60</v>
      </c>
      <c r="R25">
        <v>18</v>
      </c>
      <c r="S25">
        <v>18</v>
      </c>
      <c r="T25">
        <v>48</v>
      </c>
      <c r="U25" t="s">
        <v>310</v>
      </c>
      <c r="V25" t="s">
        <v>282</v>
      </c>
      <c r="W25">
        <v>13</v>
      </c>
      <c r="X25">
        <v>49</v>
      </c>
      <c r="Y25">
        <v>0</v>
      </c>
      <c r="Z25" t="s">
        <v>311</v>
      </c>
      <c r="AA25" t="s">
        <v>312</v>
      </c>
      <c r="AB25" t="s">
        <v>749</v>
      </c>
      <c r="AC25" t="s">
        <v>180</v>
      </c>
      <c r="AD25">
        <v>5700</v>
      </c>
      <c r="AE25" t="s">
        <v>313</v>
      </c>
      <c r="AF25">
        <v>70</v>
      </c>
      <c r="AG25" t="s">
        <v>217</v>
      </c>
      <c r="AH25">
        <v>1.1299999999999999</v>
      </c>
      <c r="AI25">
        <v>0.9</v>
      </c>
      <c r="AJ25">
        <v>0</v>
      </c>
      <c r="AK25">
        <v>35</v>
      </c>
      <c r="AL25">
        <v>0</v>
      </c>
      <c r="AM25" t="s">
        <v>314</v>
      </c>
      <c r="AN25">
        <v>0</v>
      </c>
      <c r="AO25">
        <v>28</v>
      </c>
      <c r="AP25">
        <v>0</v>
      </c>
      <c r="AQ25" t="s">
        <v>315</v>
      </c>
      <c r="AR25" t="s">
        <v>316</v>
      </c>
      <c r="AS25">
        <v>-6.4</v>
      </c>
      <c r="AT25" t="s">
        <v>317</v>
      </c>
    </row>
    <row r="26" spans="1:46" x14ac:dyDescent="0.25">
      <c r="A26" t="s">
        <v>50</v>
      </c>
      <c r="B26" t="s">
        <v>47</v>
      </c>
      <c r="E26" t="s">
        <v>318</v>
      </c>
      <c r="F26" t="s">
        <v>750</v>
      </c>
      <c r="G26" t="s">
        <v>305</v>
      </c>
      <c r="H26">
        <v>1</v>
      </c>
      <c r="I26" t="s">
        <v>319</v>
      </c>
      <c r="J26" t="s">
        <v>54</v>
      </c>
      <c r="K26" t="s">
        <v>750</v>
      </c>
      <c r="L26" t="s">
        <v>278</v>
      </c>
      <c r="M26" t="s">
        <v>320</v>
      </c>
      <c r="N26" t="s">
        <v>180</v>
      </c>
      <c r="O26" t="s">
        <v>321</v>
      </c>
      <c r="P26" t="s">
        <v>322</v>
      </c>
      <c r="Q26" t="s">
        <v>60</v>
      </c>
      <c r="R26">
        <v>18</v>
      </c>
      <c r="S26">
        <v>20</v>
      </c>
      <c r="T26">
        <v>47</v>
      </c>
      <c r="U26" t="s">
        <v>323</v>
      </c>
      <c r="V26" t="s">
        <v>282</v>
      </c>
      <c r="W26">
        <v>16</v>
      </c>
      <c r="X26">
        <v>11</v>
      </c>
      <c r="Y26">
        <v>0</v>
      </c>
      <c r="Z26" t="s">
        <v>324</v>
      </c>
      <c r="AA26" t="s">
        <v>325</v>
      </c>
      <c r="AB26" t="s">
        <v>751</v>
      </c>
      <c r="AC26" t="s">
        <v>180</v>
      </c>
      <c r="AD26">
        <v>5500</v>
      </c>
      <c r="AE26" t="s">
        <v>326</v>
      </c>
      <c r="AF26">
        <v>15</v>
      </c>
      <c r="AG26" t="s">
        <v>327</v>
      </c>
      <c r="AH26">
        <v>0.65</v>
      </c>
      <c r="AI26">
        <v>0.48</v>
      </c>
      <c r="AJ26">
        <v>0</v>
      </c>
      <c r="AK26">
        <v>20</v>
      </c>
      <c r="AL26">
        <v>0</v>
      </c>
      <c r="AM26" t="s">
        <v>301</v>
      </c>
      <c r="AN26">
        <v>0</v>
      </c>
      <c r="AO26">
        <v>15</v>
      </c>
      <c r="AP26">
        <v>0</v>
      </c>
      <c r="AQ26" t="s">
        <v>328</v>
      </c>
      <c r="AR26" t="s">
        <v>329</v>
      </c>
      <c r="AS26">
        <v>-5.8</v>
      </c>
      <c r="AT26" t="s">
        <v>330</v>
      </c>
    </row>
    <row r="27" spans="1:46" x14ac:dyDescent="0.25">
      <c r="A27" t="s">
        <v>50</v>
      </c>
      <c r="B27" t="s">
        <v>47</v>
      </c>
      <c r="E27" t="s">
        <v>331</v>
      </c>
      <c r="F27" t="s">
        <v>332</v>
      </c>
      <c r="G27" t="s">
        <v>70</v>
      </c>
      <c r="H27">
        <v>1</v>
      </c>
      <c r="I27" t="s">
        <v>333</v>
      </c>
      <c r="J27" t="s">
        <v>54</v>
      </c>
      <c r="K27" t="s">
        <v>332</v>
      </c>
      <c r="L27" t="s">
        <v>278</v>
      </c>
      <c r="M27" t="s">
        <v>332</v>
      </c>
      <c r="N27" t="s">
        <v>180</v>
      </c>
      <c r="O27" t="s">
        <v>294</v>
      </c>
      <c r="P27" t="s">
        <v>322</v>
      </c>
      <c r="Q27" t="s">
        <v>60</v>
      </c>
      <c r="R27">
        <v>18</v>
      </c>
      <c r="S27">
        <v>36</v>
      </c>
      <c r="T27">
        <v>24</v>
      </c>
      <c r="U27" t="s">
        <v>334</v>
      </c>
      <c r="V27" t="s">
        <v>282</v>
      </c>
      <c r="W27">
        <v>23</v>
      </c>
      <c r="X27">
        <v>54</v>
      </c>
      <c r="Y27">
        <v>0</v>
      </c>
      <c r="Z27" t="s">
        <v>335</v>
      </c>
      <c r="AA27" t="s">
        <v>336</v>
      </c>
      <c r="AB27" t="s">
        <v>752</v>
      </c>
      <c r="AC27" t="s">
        <v>180</v>
      </c>
      <c r="AD27">
        <v>10600</v>
      </c>
      <c r="AE27" t="s">
        <v>337</v>
      </c>
      <c r="AF27">
        <v>100</v>
      </c>
      <c r="AG27" t="s">
        <v>338</v>
      </c>
      <c r="AH27">
        <v>0.77</v>
      </c>
      <c r="AI27">
        <v>0.77</v>
      </c>
      <c r="AJ27">
        <v>0</v>
      </c>
      <c r="AK27">
        <v>24</v>
      </c>
      <c r="AL27">
        <v>0</v>
      </c>
      <c r="AM27" t="s">
        <v>339</v>
      </c>
      <c r="AN27">
        <v>0</v>
      </c>
      <c r="AO27">
        <v>24</v>
      </c>
      <c r="AP27">
        <v>0</v>
      </c>
      <c r="AQ27" t="s">
        <v>339</v>
      </c>
      <c r="AR27" t="s">
        <v>340</v>
      </c>
      <c r="AS27">
        <v>-8.5</v>
      </c>
      <c r="AT27" t="s">
        <v>303</v>
      </c>
    </row>
    <row r="28" spans="1:46" x14ac:dyDescent="0.25">
      <c r="A28" t="s">
        <v>50</v>
      </c>
      <c r="B28" t="s">
        <v>47</v>
      </c>
      <c r="E28" t="s">
        <v>341</v>
      </c>
      <c r="F28" t="s">
        <v>342</v>
      </c>
      <c r="G28" t="s">
        <v>52</v>
      </c>
      <c r="H28">
        <v>1</v>
      </c>
      <c r="I28" t="s">
        <v>343</v>
      </c>
      <c r="J28" t="s">
        <v>54</v>
      </c>
      <c r="K28" t="s">
        <v>753</v>
      </c>
      <c r="L28" t="s">
        <v>278</v>
      </c>
      <c r="M28" t="s">
        <v>344</v>
      </c>
      <c r="N28" t="s">
        <v>180</v>
      </c>
      <c r="O28" t="s">
        <v>345</v>
      </c>
      <c r="P28" t="s">
        <v>322</v>
      </c>
      <c r="Q28" t="s">
        <v>60</v>
      </c>
      <c r="R28">
        <v>18</v>
      </c>
      <c r="S28">
        <v>16</v>
      </c>
      <c r="T28">
        <v>48</v>
      </c>
      <c r="U28" t="s">
        <v>346</v>
      </c>
      <c r="V28" t="s">
        <v>282</v>
      </c>
      <c r="W28">
        <v>18</v>
      </c>
      <c r="X28">
        <v>29</v>
      </c>
      <c r="Y28">
        <v>0</v>
      </c>
      <c r="Z28" t="s">
        <v>347</v>
      </c>
      <c r="AA28" t="s">
        <v>348</v>
      </c>
      <c r="AB28" t="s">
        <v>754</v>
      </c>
      <c r="AC28" t="s">
        <v>180</v>
      </c>
      <c r="AD28">
        <v>10000</v>
      </c>
      <c r="AE28" t="s">
        <v>349</v>
      </c>
      <c r="AF28">
        <v>600</v>
      </c>
      <c r="AG28" t="s">
        <v>350</v>
      </c>
      <c r="AH28">
        <v>3.87</v>
      </c>
      <c r="AI28">
        <v>1.94</v>
      </c>
      <c r="AJ28">
        <v>2</v>
      </c>
      <c r="AK28">
        <v>0</v>
      </c>
      <c r="AL28">
        <v>0</v>
      </c>
      <c r="AM28" t="s">
        <v>351</v>
      </c>
      <c r="AN28">
        <v>1</v>
      </c>
      <c r="AO28">
        <v>0</v>
      </c>
      <c r="AP28">
        <v>0</v>
      </c>
      <c r="AQ28" t="s">
        <v>218</v>
      </c>
      <c r="AR28" t="s">
        <v>352</v>
      </c>
    </row>
    <row r="29" spans="1:46" x14ac:dyDescent="0.25">
      <c r="A29" t="s">
        <v>50</v>
      </c>
      <c r="B29" t="s">
        <v>47</v>
      </c>
      <c r="E29" t="s">
        <v>353</v>
      </c>
      <c r="F29" t="s">
        <v>755</v>
      </c>
      <c r="G29" t="s">
        <v>70</v>
      </c>
      <c r="H29">
        <v>1</v>
      </c>
      <c r="I29" t="s">
        <v>354</v>
      </c>
      <c r="J29" t="s">
        <v>54</v>
      </c>
      <c r="K29" t="s">
        <v>755</v>
      </c>
      <c r="L29" t="s">
        <v>278</v>
      </c>
      <c r="M29" t="s">
        <v>355</v>
      </c>
      <c r="N29" t="s">
        <v>180</v>
      </c>
      <c r="O29" t="s">
        <v>356</v>
      </c>
      <c r="P29" t="s">
        <v>182</v>
      </c>
      <c r="Q29" t="s">
        <v>60</v>
      </c>
      <c r="R29">
        <v>19</v>
      </c>
      <c r="S29">
        <v>59</v>
      </c>
      <c r="T29">
        <v>36</v>
      </c>
      <c r="U29" t="s">
        <v>357</v>
      </c>
      <c r="V29" t="s">
        <v>62</v>
      </c>
      <c r="W29">
        <v>22</v>
      </c>
      <c r="X29">
        <v>43</v>
      </c>
      <c r="Y29">
        <v>0</v>
      </c>
      <c r="Z29" t="s">
        <v>358</v>
      </c>
      <c r="AA29" t="s">
        <v>359</v>
      </c>
      <c r="AB29" t="s">
        <v>672</v>
      </c>
      <c r="AC29" t="s">
        <v>180</v>
      </c>
      <c r="AD29">
        <v>1360</v>
      </c>
      <c r="AE29" t="s">
        <v>360</v>
      </c>
      <c r="AF29">
        <v>2.5</v>
      </c>
      <c r="AG29" t="s">
        <v>361</v>
      </c>
      <c r="AH29">
        <v>0.27</v>
      </c>
      <c r="AI29">
        <v>0.18</v>
      </c>
      <c r="AJ29">
        <v>0</v>
      </c>
      <c r="AK29">
        <v>8</v>
      </c>
      <c r="AL29">
        <v>0</v>
      </c>
      <c r="AM29" t="s">
        <v>362</v>
      </c>
      <c r="AN29">
        <v>0</v>
      </c>
      <c r="AO29">
        <v>5</v>
      </c>
      <c r="AP29">
        <v>0</v>
      </c>
      <c r="AQ29" t="s">
        <v>363</v>
      </c>
      <c r="AR29" t="s">
        <v>364</v>
      </c>
      <c r="AS29">
        <v>-0.5</v>
      </c>
      <c r="AT29" t="s">
        <v>365</v>
      </c>
    </row>
    <row r="30" spans="1:46" x14ac:dyDescent="0.25">
      <c r="A30" t="s">
        <v>50</v>
      </c>
      <c r="B30" t="s">
        <v>47</v>
      </c>
      <c r="E30" t="s">
        <v>366</v>
      </c>
      <c r="F30" t="s">
        <v>756</v>
      </c>
      <c r="G30" t="s">
        <v>52</v>
      </c>
      <c r="H30">
        <v>1</v>
      </c>
      <c r="I30" t="s">
        <v>367</v>
      </c>
      <c r="J30" t="s">
        <v>54</v>
      </c>
      <c r="K30" t="s">
        <v>756</v>
      </c>
      <c r="L30" t="s">
        <v>278</v>
      </c>
      <c r="M30" t="s">
        <v>368</v>
      </c>
      <c r="N30" t="s">
        <v>180</v>
      </c>
      <c r="O30" t="s">
        <v>369</v>
      </c>
      <c r="P30" t="s">
        <v>86</v>
      </c>
      <c r="Q30" t="s">
        <v>75</v>
      </c>
      <c r="R30">
        <v>0</v>
      </c>
      <c r="S30">
        <v>42</v>
      </c>
      <c r="T30">
        <v>44.3</v>
      </c>
      <c r="U30" t="s">
        <v>370</v>
      </c>
      <c r="V30" t="s">
        <v>62</v>
      </c>
      <c r="W30">
        <v>41</v>
      </c>
      <c r="X30">
        <v>16</v>
      </c>
      <c r="Y30">
        <v>9</v>
      </c>
      <c r="Z30" t="s">
        <v>371</v>
      </c>
      <c r="AA30" t="s">
        <v>372</v>
      </c>
      <c r="AB30" t="s">
        <v>757</v>
      </c>
      <c r="AC30" t="s">
        <v>180</v>
      </c>
      <c r="AD30">
        <v>2540000</v>
      </c>
      <c r="AE30" t="s">
        <v>373</v>
      </c>
      <c r="AF30">
        <v>220000</v>
      </c>
      <c r="AG30" t="s">
        <v>374</v>
      </c>
      <c r="AH30">
        <v>6</v>
      </c>
      <c r="AI30">
        <v>2</v>
      </c>
      <c r="AJ30">
        <v>3</v>
      </c>
      <c r="AK30">
        <v>0</v>
      </c>
      <c r="AL30">
        <v>0</v>
      </c>
      <c r="AM30" t="s">
        <v>229</v>
      </c>
      <c r="AN30">
        <v>1</v>
      </c>
      <c r="AO30">
        <v>0</v>
      </c>
      <c r="AP30">
        <v>0</v>
      </c>
      <c r="AQ30" t="s">
        <v>218</v>
      </c>
      <c r="AR30" t="s">
        <v>375</v>
      </c>
      <c r="AS30">
        <v>-21.5</v>
      </c>
      <c r="AT30" t="s">
        <v>376</v>
      </c>
    </row>
    <row r="31" spans="1:46" x14ac:dyDescent="0.25">
      <c r="A31" t="s">
        <v>50</v>
      </c>
      <c r="B31" t="s">
        <v>47</v>
      </c>
      <c r="E31" t="s">
        <v>377</v>
      </c>
      <c r="F31" t="s">
        <v>378</v>
      </c>
      <c r="G31" t="s">
        <v>305</v>
      </c>
      <c r="H31">
        <v>1</v>
      </c>
      <c r="I31" t="s">
        <v>379</v>
      </c>
      <c r="J31" t="s">
        <v>54</v>
      </c>
      <c r="K31" t="s">
        <v>378</v>
      </c>
      <c r="L31" t="s">
        <v>278</v>
      </c>
      <c r="M31" t="s">
        <v>380</v>
      </c>
      <c r="N31" t="s">
        <v>180</v>
      </c>
      <c r="O31" t="s">
        <v>369</v>
      </c>
      <c r="P31" t="s">
        <v>381</v>
      </c>
      <c r="Q31" t="s">
        <v>75</v>
      </c>
      <c r="R31">
        <v>1</v>
      </c>
      <c r="S31">
        <v>33</v>
      </c>
      <c r="T31">
        <v>51</v>
      </c>
      <c r="U31" t="s">
        <v>382</v>
      </c>
      <c r="V31" t="s">
        <v>62</v>
      </c>
      <c r="W31">
        <v>30</v>
      </c>
      <c r="X31">
        <v>39</v>
      </c>
      <c r="Y31">
        <v>37</v>
      </c>
      <c r="Z31" t="s">
        <v>383</v>
      </c>
      <c r="AA31" t="s">
        <v>384</v>
      </c>
      <c r="AB31" t="s">
        <v>758</v>
      </c>
      <c r="AC31" t="s">
        <v>180</v>
      </c>
      <c r="AD31">
        <v>2730000</v>
      </c>
      <c r="AE31" t="s">
        <v>385</v>
      </c>
      <c r="AF31">
        <v>60000</v>
      </c>
      <c r="AG31" t="s">
        <v>386</v>
      </c>
      <c r="AH31">
        <v>2.2999999999999998</v>
      </c>
      <c r="AI31">
        <v>1.5</v>
      </c>
      <c r="AJ31">
        <v>1</v>
      </c>
      <c r="AK31">
        <v>8</v>
      </c>
      <c r="AL31">
        <v>0</v>
      </c>
      <c r="AM31" t="s">
        <v>387</v>
      </c>
      <c r="AN31">
        <v>0</v>
      </c>
      <c r="AO31">
        <v>45</v>
      </c>
      <c r="AP31">
        <v>0</v>
      </c>
      <c r="AQ31" t="s">
        <v>388</v>
      </c>
      <c r="AR31" t="s">
        <v>389</v>
      </c>
      <c r="AS31">
        <v>-18.899999999999999</v>
      </c>
      <c r="AT31" t="s">
        <v>390</v>
      </c>
    </row>
    <row r="32" spans="1:46" x14ac:dyDescent="0.25">
      <c r="A32" t="s">
        <v>50</v>
      </c>
      <c r="B32" t="s">
        <v>47</v>
      </c>
      <c r="E32" t="s">
        <v>391</v>
      </c>
      <c r="F32" t="s">
        <v>392</v>
      </c>
      <c r="G32" t="s">
        <v>70</v>
      </c>
      <c r="H32">
        <v>1</v>
      </c>
      <c r="I32" t="s">
        <v>393</v>
      </c>
      <c r="J32" t="s">
        <v>54</v>
      </c>
      <c r="K32" t="s">
        <v>392</v>
      </c>
      <c r="L32" t="s">
        <v>278</v>
      </c>
      <c r="M32" t="s">
        <v>392</v>
      </c>
      <c r="N32" t="s">
        <v>180</v>
      </c>
      <c r="O32" t="s">
        <v>251</v>
      </c>
      <c r="P32" t="s">
        <v>159</v>
      </c>
      <c r="Q32" t="s">
        <v>147</v>
      </c>
      <c r="R32">
        <v>5</v>
      </c>
      <c r="S32">
        <v>52</v>
      </c>
      <c r="T32">
        <v>18</v>
      </c>
      <c r="U32" t="s">
        <v>394</v>
      </c>
      <c r="V32" t="s">
        <v>62</v>
      </c>
      <c r="W32">
        <v>32</v>
      </c>
      <c r="X32">
        <v>33</v>
      </c>
      <c r="Y32">
        <v>0</v>
      </c>
      <c r="Z32" t="s">
        <v>395</v>
      </c>
      <c r="AA32" t="s">
        <v>396</v>
      </c>
      <c r="AB32" t="s">
        <v>759</v>
      </c>
      <c r="AC32" t="s">
        <v>180</v>
      </c>
      <c r="AD32">
        <v>4500</v>
      </c>
      <c r="AE32" t="s">
        <v>397</v>
      </c>
      <c r="AF32">
        <v>25</v>
      </c>
      <c r="AG32" t="s">
        <v>398</v>
      </c>
      <c r="AH32">
        <v>0.77</v>
      </c>
      <c r="AI32">
        <v>0.77</v>
      </c>
      <c r="AJ32">
        <v>0</v>
      </c>
      <c r="AK32">
        <v>24</v>
      </c>
      <c r="AL32">
        <v>0</v>
      </c>
      <c r="AM32" t="s">
        <v>339</v>
      </c>
      <c r="AN32">
        <v>0</v>
      </c>
      <c r="AO32">
        <v>24</v>
      </c>
      <c r="AP32">
        <v>0</v>
      </c>
      <c r="AQ32" t="s">
        <v>339</v>
      </c>
      <c r="AR32" t="s">
        <v>340</v>
      </c>
      <c r="AS32">
        <v>-5</v>
      </c>
      <c r="AT32" t="s">
        <v>399</v>
      </c>
    </row>
    <row r="33" spans="1:46" x14ac:dyDescent="0.25">
      <c r="A33" t="s">
        <v>50</v>
      </c>
      <c r="B33" t="s">
        <v>47</v>
      </c>
      <c r="E33" t="s">
        <v>400</v>
      </c>
      <c r="F33" t="s">
        <v>401</v>
      </c>
      <c r="G33" t="s">
        <v>70</v>
      </c>
      <c r="H33">
        <v>1</v>
      </c>
      <c r="I33" t="s">
        <v>402</v>
      </c>
      <c r="J33" t="s">
        <v>54</v>
      </c>
      <c r="K33" t="s">
        <v>401</v>
      </c>
      <c r="L33" t="s">
        <v>278</v>
      </c>
      <c r="M33" t="s">
        <v>401</v>
      </c>
      <c r="N33" t="s">
        <v>180</v>
      </c>
      <c r="O33" t="s">
        <v>251</v>
      </c>
      <c r="P33" t="s">
        <v>159</v>
      </c>
      <c r="Q33" t="s">
        <v>147</v>
      </c>
      <c r="R33">
        <v>5</v>
      </c>
      <c r="S33">
        <v>28</v>
      </c>
      <c r="T33">
        <v>42</v>
      </c>
      <c r="U33" t="s">
        <v>403</v>
      </c>
      <c r="V33" t="s">
        <v>62</v>
      </c>
      <c r="W33">
        <v>35</v>
      </c>
      <c r="X33">
        <v>51</v>
      </c>
      <c r="Y33">
        <v>0</v>
      </c>
      <c r="Z33" t="s">
        <v>404</v>
      </c>
      <c r="AA33" t="s">
        <v>405</v>
      </c>
      <c r="AB33" t="s">
        <v>760</v>
      </c>
      <c r="AC33" t="s">
        <v>180</v>
      </c>
      <c r="AD33">
        <v>4200</v>
      </c>
      <c r="AE33" t="s">
        <v>406</v>
      </c>
      <c r="AF33">
        <v>25</v>
      </c>
      <c r="AG33" t="s">
        <v>398</v>
      </c>
      <c r="AH33">
        <v>0.68</v>
      </c>
      <c r="AI33">
        <v>0.68</v>
      </c>
      <c r="AJ33">
        <v>0</v>
      </c>
      <c r="AK33">
        <v>21</v>
      </c>
      <c r="AL33">
        <v>0</v>
      </c>
      <c r="AM33" t="s">
        <v>407</v>
      </c>
      <c r="AN33">
        <v>0</v>
      </c>
      <c r="AO33">
        <v>21</v>
      </c>
      <c r="AP33">
        <v>0</v>
      </c>
      <c r="AQ33" t="s">
        <v>407</v>
      </c>
      <c r="AR33" t="s">
        <v>408</v>
      </c>
      <c r="AS33">
        <v>-4.2</v>
      </c>
      <c r="AT33" t="s">
        <v>409</v>
      </c>
    </row>
    <row r="34" spans="1:46" x14ac:dyDescent="0.25">
      <c r="A34" t="s">
        <v>50</v>
      </c>
      <c r="B34" t="s">
        <v>47</v>
      </c>
      <c r="E34" t="s">
        <v>410</v>
      </c>
      <c r="F34" t="s">
        <v>411</v>
      </c>
      <c r="G34" t="s">
        <v>52</v>
      </c>
      <c r="H34">
        <v>1</v>
      </c>
      <c r="I34" t="s">
        <v>412</v>
      </c>
      <c r="J34" t="s">
        <v>54</v>
      </c>
      <c r="K34" t="s">
        <v>411</v>
      </c>
      <c r="L34" t="s">
        <v>278</v>
      </c>
      <c r="M34" t="s">
        <v>411</v>
      </c>
      <c r="N34" t="s">
        <v>180</v>
      </c>
      <c r="O34" t="s">
        <v>251</v>
      </c>
      <c r="P34" t="s">
        <v>59</v>
      </c>
      <c r="Q34" t="s">
        <v>60</v>
      </c>
      <c r="R34">
        <v>21</v>
      </c>
      <c r="S34">
        <v>31</v>
      </c>
      <c r="T34">
        <v>48</v>
      </c>
      <c r="U34" t="s">
        <v>413</v>
      </c>
      <c r="V34" t="s">
        <v>62</v>
      </c>
      <c r="W34">
        <v>48</v>
      </c>
      <c r="X34">
        <v>26</v>
      </c>
      <c r="Y34">
        <v>0</v>
      </c>
      <c r="Z34" t="s">
        <v>414</v>
      </c>
      <c r="AA34" t="s">
        <v>415</v>
      </c>
      <c r="AB34" t="s">
        <v>761</v>
      </c>
      <c r="AC34" t="s">
        <v>180</v>
      </c>
      <c r="AD34">
        <v>1010</v>
      </c>
      <c r="AE34" t="s">
        <v>416</v>
      </c>
      <c r="AF34">
        <v>7</v>
      </c>
      <c r="AG34" t="s">
        <v>417</v>
      </c>
      <c r="AH34">
        <v>1.03</v>
      </c>
      <c r="AI34">
        <v>1.03</v>
      </c>
      <c r="AJ34">
        <v>0</v>
      </c>
      <c r="AK34">
        <v>32</v>
      </c>
      <c r="AL34">
        <v>0</v>
      </c>
      <c r="AM34" t="s">
        <v>418</v>
      </c>
      <c r="AN34">
        <v>0</v>
      </c>
      <c r="AO34">
        <v>32</v>
      </c>
      <c r="AP34">
        <v>0</v>
      </c>
      <c r="AQ34" t="s">
        <v>418</v>
      </c>
      <c r="AR34" t="s">
        <v>419</v>
      </c>
      <c r="AS34">
        <v>-4.2</v>
      </c>
      <c r="AT34" t="s">
        <v>409</v>
      </c>
    </row>
    <row r="35" spans="1:46" x14ac:dyDescent="0.25">
      <c r="A35" t="s">
        <v>50</v>
      </c>
      <c r="B35" t="s">
        <v>47</v>
      </c>
      <c r="E35" t="s">
        <v>420</v>
      </c>
      <c r="F35" t="s">
        <v>421</v>
      </c>
      <c r="G35" t="s">
        <v>52</v>
      </c>
      <c r="H35">
        <v>1</v>
      </c>
      <c r="I35" t="s">
        <v>422</v>
      </c>
      <c r="J35" t="s">
        <v>54</v>
      </c>
      <c r="K35" t="s">
        <v>421</v>
      </c>
      <c r="L35" t="s">
        <v>278</v>
      </c>
      <c r="M35" t="s">
        <v>421</v>
      </c>
      <c r="N35" t="s">
        <v>180</v>
      </c>
      <c r="O35" t="s">
        <v>251</v>
      </c>
      <c r="P35" t="s">
        <v>423</v>
      </c>
      <c r="Q35" t="s">
        <v>147</v>
      </c>
      <c r="R35">
        <v>6</v>
      </c>
      <c r="S35">
        <v>47</v>
      </c>
      <c r="T35">
        <v>0</v>
      </c>
      <c r="U35" t="s">
        <v>424</v>
      </c>
      <c r="V35" t="s">
        <v>282</v>
      </c>
      <c r="W35">
        <v>20</v>
      </c>
      <c r="X35">
        <v>44</v>
      </c>
      <c r="Y35">
        <v>0</v>
      </c>
      <c r="Z35" t="s">
        <v>425</v>
      </c>
      <c r="AA35" t="s">
        <v>426</v>
      </c>
      <c r="AB35" t="s">
        <v>673</v>
      </c>
      <c r="AC35" t="s">
        <v>180</v>
      </c>
      <c r="AD35">
        <v>2300</v>
      </c>
      <c r="AE35" t="s">
        <v>427</v>
      </c>
      <c r="AF35">
        <v>25</v>
      </c>
      <c r="AG35" t="s">
        <v>398</v>
      </c>
      <c r="AH35">
        <v>1.23</v>
      </c>
      <c r="AI35">
        <v>1.23</v>
      </c>
      <c r="AJ35">
        <v>0</v>
      </c>
      <c r="AK35">
        <v>38</v>
      </c>
      <c r="AL35">
        <v>0</v>
      </c>
      <c r="AM35" t="s">
        <v>428</v>
      </c>
      <c r="AN35">
        <v>0</v>
      </c>
      <c r="AO35">
        <v>38</v>
      </c>
      <c r="AP35">
        <v>0</v>
      </c>
      <c r="AQ35" t="s">
        <v>428</v>
      </c>
      <c r="AR35" t="s">
        <v>429</v>
      </c>
      <c r="AS35">
        <v>-4.2</v>
      </c>
      <c r="AT35" t="s">
        <v>409</v>
      </c>
    </row>
    <row r="36" spans="1:46" x14ac:dyDescent="0.25">
      <c r="A36" t="s">
        <v>50</v>
      </c>
      <c r="B36" t="s">
        <v>47</v>
      </c>
      <c r="E36" t="s">
        <v>430</v>
      </c>
      <c r="F36" t="s">
        <v>762</v>
      </c>
      <c r="G36" t="s">
        <v>52</v>
      </c>
      <c r="H36">
        <v>1</v>
      </c>
      <c r="I36" t="s">
        <v>431</v>
      </c>
      <c r="J36" t="s">
        <v>54</v>
      </c>
      <c r="K36" t="s">
        <v>762</v>
      </c>
      <c r="L36" t="s">
        <v>278</v>
      </c>
      <c r="M36" t="s">
        <v>432</v>
      </c>
      <c r="N36" t="s">
        <v>180</v>
      </c>
      <c r="O36" t="s">
        <v>433</v>
      </c>
      <c r="P36" t="s">
        <v>146</v>
      </c>
      <c r="Q36" t="s">
        <v>147</v>
      </c>
      <c r="R36">
        <v>5</v>
      </c>
      <c r="S36">
        <v>35</v>
      </c>
      <c r="T36">
        <v>17.3</v>
      </c>
      <c r="U36" t="s">
        <v>434</v>
      </c>
      <c r="V36" t="s">
        <v>282</v>
      </c>
      <c r="W36">
        <v>5</v>
      </c>
      <c r="X36">
        <v>23</v>
      </c>
      <c r="Y36">
        <v>28</v>
      </c>
      <c r="Z36" t="s">
        <v>435</v>
      </c>
      <c r="AA36" t="s">
        <v>436</v>
      </c>
      <c r="AB36" t="s">
        <v>763</v>
      </c>
      <c r="AC36" t="s">
        <v>180</v>
      </c>
      <c r="AD36">
        <v>1344</v>
      </c>
      <c r="AE36" t="s">
        <v>437</v>
      </c>
      <c r="AF36">
        <v>24</v>
      </c>
      <c r="AG36" t="s">
        <v>438</v>
      </c>
      <c r="AH36">
        <v>2.1</v>
      </c>
      <c r="AI36">
        <v>1.94</v>
      </c>
      <c r="AJ36">
        <v>1</v>
      </c>
      <c r="AK36">
        <v>5</v>
      </c>
      <c r="AL36">
        <v>0</v>
      </c>
      <c r="AM36" t="s">
        <v>439</v>
      </c>
      <c r="AN36">
        <v>1</v>
      </c>
      <c r="AO36">
        <v>0</v>
      </c>
      <c r="AP36">
        <v>0</v>
      </c>
      <c r="AQ36" t="s">
        <v>218</v>
      </c>
      <c r="AR36" t="s">
        <v>440</v>
      </c>
      <c r="AS36">
        <v>-4.0999999999999996</v>
      </c>
      <c r="AT36" t="s">
        <v>441</v>
      </c>
    </row>
    <row r="37" spans="1:46" x14ac:dyDescent="0.25">
      <c r="A37" t="s">
        <v>50</v>
      </c>
      <c r="B37" t="s">
        <v>47</v>
      </c>
      <c r="E37" t="s">
        <v>442</v>
      </c>
      <c r="F37" t="s">
        <v>764</v>
      </c>
      <c r="G37" t="s">
        <v>52</v>
      </c>
      <c r="H37">
        <v>1</v>
      </c>
      <c r="I37" t="s">
        <v>443</v>
      </c>
      <c r="J37" t="s">
        <v>54</v>
      </c>
      <c r="K37" t="s">
        <v>764</v>
      </c>
      <c r="L37" t="s">
        <v>278</v>
      </c>
      <c r="M37" t="s">
        <v>444</v>
      </c>
      <c r="N37" t="s">
        <v>180</v>
      </c>
      <c r="O37" t="s">
        <v>251</v>
      </c>
      <c r="P37" t="s">
        <v>252</v>
      </c>
      <c r="Q37" t="s">
        <v>147</v>
      </c>
      <c r="R37">
        <v>3</v>
      </c>
      <c r="S37">
        <v>47</v>
      </c>
      <c r="T37">
        <v>24</v>
      </c>
      <c r="U37" t="s">
        <v>445</v>
      </c>
      <c r="V37" t="s">
        <v>62</v>
      </c>
      <c r="W37">
        <v>24</v>
      </c>
      <c r="X37">
        <v>7</v>
      </c>
      <c r="Y37">
        <v>0</v>
      </c>
      <c r="Z37" t="s">
        <v>446</v>
      </c>
      <c r="AA37" t="s">
        <v>447</v>
      </c>
      <c r="AB37" t="s">
        <v>765</v>
      </c>
      <c r="AC37" t="s">
        <v>180</v>
      </c>
      <c r="AD37">
        <v>444</v>
      </c>
      <c r="AE37" t="s">
        <v>448</v>
      </c>
      <c r="AF37">
        <v>17.5</v>
      </c>
      <c r="AG37" t="s">
        <v>449</v>
      </c>
      <c r="AH37">
        <v>3.67</v>
      </c>
      <c r="AI37">
        <v>3.67</v>
      </c>
      <c r="AJ37">
        <v>1</v>
      </c>
      <c r="AK37">
        <v>50</v>
      </c>
      <c r="AL37">
        <v>0</v>
      </c>
      <c r="AM37" t="s">
        <v>450</v>
      </c>
      <c r="AN37">
        <v>1</v>
      </c>
      <c r="AO37">
        <v>50</v>
      </c>
      <c r="AP37">
        <v>0</v>
      </c>
      <c r="AQ37" t="s">
        <v>450</v>
      </c>
      <c r="AR37" t="s">
        <v>451</v>
      </c>
      <c r="AS37">
        <v>-1.6</v>
      </c>
      <c r="AT37" t="s">
        <v>452</v>
      </c>
    </row>
    <row r="38" spans="1:46" x14ac:dyDescent="0.25">
      <c r="A38" t="s">
        <v>50</v>
      </c>
      <c r="B38" t="s">
        <v>47</v>
      </c>
      <c r="E38" t="s">
        <v>453</v>
      </c>
      <c r="F38" t="s">
        <v>454</v>
      </c>
      <c r="G38" t="s">
        <v>70</v>
      </c>
      <c r="H38">
        <v>1</v>
      </c>
      <c r="I38" t="s">
        <v>455</v>
      </c>
      <c r="J38" t="s">
        <v>54</v>
      </c>
      <c r="K38" t="s">
        <v>454</v>
      </c>
      <c r="L38" t="s">
        <v>278</v>
      </c>
      <c r="M38" t="s">
        <v>454</v>
      </c>
      <c r="N38" t="s">
        <v>180</v>
      </c>
      <c r="O38" t="s">
        <v>251</v>
      </c>
      <c r="P38" t="s">
        <v>456</v>
      </c>
      <c r="Q38" t="s">
        <v>147</v>
      </c>
      <c r="R38">
        <v>7</v>
      </c>
      <c r="S38">
        <v>41</v>
      </c>
      <c r="T38">
        <v>46</v>
      </c>
      <c r="U38" t="s">
        <v>457</v>
      </c>
      <c r="V38" t="s">
        <v>282</v>
      </c>
      <c r="W38">
        <v>14</v>
      </c>
      <c r="X38">
        <v>49</v>
      </c>
      <c r="Y38">
        <v>0</v>
      </c>
      <c r="Z38" t="s">
        <v>458</v>
      </c>
      <c r="AA38" t="s">
        <v>459</v>
      </c>
      <c r="AB38" t="s">
        <v>766</v>
      </c>
      <c r="AC38" t="s">
        <v>180</v>
      </c>
      <c r="AD38">
        <v>4900</v>
      </c>
      <c r="AE38" t="s">
        <v>460</v>
      </c>
      <c r="AF38">
        <v>30</v>
      </c>
      <c r="AG38" t="s">
        <v>186</v>
      </c>
      <c r="AH38">
        <v>0.87</v>
      </c>
      <c r="AI38">
        <v>0.87</v>
      </c>
      <c r="AJ38">
        <v>0</v>
      </c>
      <c r="AK38">
        <v>27</v>
      </c>
      <c r="AL38">
        <v>0</v>
      </c>
      <c r="AM38" t="s">
        <v>461</v>
      </c>
      <c r="AN38">
        <v>0</v>
      </c>
      <c r="AO38">
        <v>27</v>
      </c>
      <c r="AP38">
        <v>0</v>
      </c>
      <c r="AQ38" t="s">
        <v>461</v>
      </c>
      <c r="AR38" t="s">
        <v>462</v>
      </c>
      <c r="AS38">
        <v>-6.1</v>
      </c>
      <c r="AT38" t="s">
        <v>463</v>
      </c>
    </row>
    <row r="39" spans="1:46" x14ac:dyDescent="0.25">
      <c r="A39" t="s">
        <v>50</v>
      </c>
      <c r="B39" t="s">
        <v>47</v>
      </c>
      <c r="E39" t="s">
        <v>464</v>
      </c>
      <c r="F39" t="s">
        <v>767</v>
      </c>
      <c r="G39" t="s">
        <v>305</v>
      </c>
      <c r="H39">
        <v>1</v>
      </c>
      <c r="I39" t="s">
        <v>465</v>
      </c>
      <c r="J39" t="s">
        <v>54</v>
      </c>
      <c r="K39" t="s">
        <v>767</v>
      </c>
      <c r="L39" t="s">
        <v>278</v>
      </c>
      <c r="M39" t="s">
        <v>466</v>
      </c>
      <c r="N39" t="s">
        <v>180</v>
      </c>
      <c r="O39" t="s">
        <v>356</v>
      </c>
      <c r="P39" t="s">
        <v>267</v>
      </c>
      <c r="Q39" t="s">
        <v>60</v>
      </c>
      <c r="R39">
        <v>18</v>
      </c>
      <c r="S39">
        <v>53</v>
      </c>
      <c r="T39">
        <v>35</v>
      </c>
      <c r="U39" t="s">
        <v>467</v>
      </c>
      <c r="V39" t="s">
        <v>62</v>
      </c>
      <c r="W39">
        <v>33</v>
      </c>
      <c r="X39">
        <v>2</v>
      </c>
      <c r="Y39">
        <v>0</v>
      </c>
      <c r="Z39" t="s">
        <v>468</v>
      </c>
      <c r="AA39" t="s">
        <v>469</v>
      </c>
      <c r="AB39" t="s">
        <v>674</v>
      </c>
      <c r="AC39" t="s">
        <v>180</v>
      </c>
      <c r="AD39">
        <v>2300</v>
      </c>
      <c r="AE39" t="s">
        <v>427</v>
      </c>
      <c r="AF39">
        <v>1.3</v>
      </c>
      <c r="AG39" t="s">
        <v>470</v>
      </c>
      <c r="AH39">
        <v>0.05</v>
      </c>
      <c r="AI39">
        <v>0.04</v>
      </c>
      <c r="AJ39">
        <v>0</v>
      </c>
      <c r="AK39">
        <v>1</v>
      </c>
      <c r="AL39">
        <v>24</v>
      </c>
      <c r="AM39" t="s">
        <v>471</v>
      </c>
      <c r="AN39">
        <v>0</v>
      </c>
      <c r="AO39">
        <v>1</v>
      </c>
      <c r="AP39">
        <v>12</v>
      </c>
      <c r="AQ39" t="s">
        <v>472</v>
      </c>
      <c r="AR39" t="s">
        <v>473</v>
      </c>
      <c r="AS39">
        <v>0.7</v>
      </c>
      <c r="AT39" t="s">
        <v>474</v>
      </c>
    </row>
    <row r="40" spans="1:46" x14ac:dyDescent="0.25">
      <c r="A40" t="s">
        <v>50</v>
      </c>
      <c r="B40" t="s">
        <v>47</v>
      </c>
      <c r="E40" t="s">
        <v>475</v>
      </c>
      <c r="F40" t="s">
        <v>476</v>
      </c>
      <c r="G40" t="s">
        <v>70</v>
      </c>
      <c r="H40">
        <v>1</v>
      </c>
      <c r="I40" t="s">
        <v>477</v>
      </c>
      <c r="J40" t="s">
        <v>54</v>
      </c>
      <c r="K40" t="s">
        <v>476</v>
      </c>
      <c r="L40" t="s">
        <v>278</v>
      </c>
      <c r="M40" t="s">
        <v>478</v>
      </c>
      <c r="N40" t="s">
        <v>180</v>
      </c>
      <c r="O40" t="s">
        <v>251</v>
      </c>
      <c r="P40" t="s">
        <v>479</v>
      </c>
      <c r="Q40" t="s">
        <v>60</v>
      </c>
      <c r="R40">
        <v>17</v>
      </c>
      <c r="S40">
        <v>40</v>
      </c>
      <c r="T40">
        <v>12</v>
      </c>
      <c r="U40" t="s">
        <v>480</v>
      </c>
      <c r="V40" t="s">
        <v>282</v>
      </c>
      <c r="W40">
        <v>32</v>
      </c>
      <c r="X40">
        <v>13</v>
      </c>
      <c r="Y40">
        <v>0</v>
      </c>
      <c r="Z40" t="s">
        <v>481</v>
      </c>
      <c r="AA40" t="s">
        <v>482</v>
      </c>
      <c r="AB40" t="s">
        <v>768</v>
      </c>
      <c r="AC40" t="s">
        <v>180</v>
      </c>
      <c r="AD40">
        <v>1600</v>
      </c>
      <c r="AE40" t="s">
        <v>483</v>
      </c>
      <c r="AF40">
        <v>20</v>
      </c>
      <c r="AG40" t="s">
        <v>286</v>
      </c>
      <c r="AH40">
        <v>0.81</v>
      </c>
      <c r="AI40">
        <v>0.81</v>
      </c>
      <c r="AJ40">
        <v>0</v>
      </c>
      <c r="AK40">
        <v>25</v>
      </c>
      <c r="AL40">
        <v>0</v>
      </c>
      <c r="AM40" t="s">
        <v>484</v>
      </c>
      <c r="AN40">
        <v>0</v>
      </c>
      <c r="AO40">
        <v>25</v>
      </c>
      <c r="AP40">
        <v>0</v>
      </c>
      <c r="AQ40" t="s">
        <v>484</v>
      </c>
      <c r="AR40" t="s">
        <v>485</v>
      </c>
      <c r="AS40">
        <v>-5.6</v>
      </c>
      <c r="AT40" t="s">
        <v>486</v>
      </c>
    </row>
    <row r="41" spans="1:46" x14ac:dyDescent="0.25">
      <c r="A41" t="s">
        <v>50</v>
      </c>
      <c r="B41" t="s">
        <v>47</v>
      </c>
      <c r="E41" t="s">
        <v>487</v>
      </c>
      <c r="F41" t="s">
        <v>488</v>
      </c>
      <c r="G41" t="s">
        <v>70</v>
      </c>
      <c r="H41">
        <v>1</v>
      </c>
      <c r="I41" t="s">
        <v>489</v>
      </c>
      <c r="J41" t="s">
        <v>54</v>
      </c>
      <c r="K41" t="s">
        <v>769</v>
      </c>
      <c r="L41" t="s">
        <v>278</v>
      </c>
      <c r="M41" t="s">
        <v>490</v>
      </c>
      <c r="N41" t="s">
        <v>180</v>
      </c>
      <c r="O41" t="s">
        <v>321</v>
      </c>
      <c r="P41" t="s">
        <v>322</v>
      </c>
      <c r="Q41" t="s">
        <v>60</v>
      </c>
      <c r="R41">
        <v>18</v>
      </c>
      <c r="S41">
        <v>3</v>
      </c>
      <c r="T41">
        <v>37</v>
      </c>
      <c r="U41" t="s">
        <v>491</v>
      </c>
      <c r="V41" t="s">
        <v>282</v>
      </c>
      <c r="W41">
        <v>24</v>
      </c>
      <c r="X41">
        <v>23</v>
      </c>
      <c r="Y41">
        <v>12</v>
      </c>
      <c r="Z41" t="s">
        <v>492</v>
      </c>
      <c r="AA41" t="s">
        <v>493</v>
      </c>
      <c r="AB41" t="s">
        <v>675</v>
      </c>
      <c r="AC41" t="s">
        <v>180</v>
      </c>
      <c r="AD41">
        <v>4100</v>
      </c>
      <c r="AE41" t="s">
        <v>494</v>
      </c>
      <c r="AF41">
        <v>110</v>
      </c>
      <c r="AG41" t="s">
        <v>495</v>
      </c>
      <c r="AH41">
        <v>2.9</v>
      </c>
      <c r="AI41">
        <v>1.29</v>
      </c>
      <c r="AJ41">
        <v>1</v>
      </c>
      <c r="AK41">
        <v>30</v>
      </c>
      <c r="AL41">
        <v>0</v>
      </c>
      <c r="AM41" t="s">
        <v>496</v>
      </c>
      <c r="AN41">
        <v>0</v>
      </c>
      <c r="AO41">
        <v>40</v>
      </c>
      <c r="AP41">
        <v>0</v>
      </c>
      <c r="AQ41" t="s">
        <v>188</v>
      </c>
      <c r="AR41" t="s">
        <v>497</v>
      </c>
      <c r="AS41">
        <v>-6</v>
      </c>
      <c r="AT41" t="s">
        <v>498</v>
      </c>
    </row>
    <row r="42" spans="1:46" x14ac:dyDescent="0.25">
      <c r="A42" t="s">
        <v>50</v>
      </c>
      <c r="B42" t="s">
        <v>47</v>
      </c>
      <c r="E42" t="s">
        <v>499</v>
      </c>
      <c r="F42" t="s">
        <v>500</v>
      </c>
      <c r="G42" t="s">
        <v>305</v>
      </c>
      <c r="H42">
        <v>1</v>
      </c>
      <c r="I42" t="s">
        <v>501</v>
      </c>
      <c r="J42" t="s">
        <v>54</v>
      </c>
      <c r="K42" t="s">
        <v>500</v>
      </c>
      <c r="L42" t="s">
        <v>278</v>
      </c>
      <c r="M42" t="s">
        <v>502</v>
      </c>
      <c r="N42" t="s">
        <v>180</v>
      </c>
      <c r="O42" t="s">
        <v>369</v>
      </c>
      <c r="P42" t="s">
        <v>503</v>
      </c>
      <c r="Q42" t="s">
        <v>121</v>
      </c>
      <c r="R42">
        <v>9</v>
      </c>
      <c r="S42">
        <v>55</v>
      </c>
      <c r="T42">
        <v>33</v>
      </c>
      <c r="U42" t="s">
        <v>504</v>
      </c>
      <c r="V42" t="s">
        <v>62</v>
      </c>
      <c r="W42">
        <v>69</v>
      </c>
      <c r="X42">
        <v>4</v>
      </c>
      <c r="Y42">
        <v>0</v>
      </c>
      <c r="Z42" t="s">
        <v>505</v>
      </c>
      <c r="AA42" t="s">
        <v>506</v>
      </c>
      <c r="AB42" t="s">
        <v>676</v>
      </c>
      <c r="AC42" t="s">
        <v>180</v>
      </c>
      <c r="AD42">
        <v>11700000</v>
      </c>
      <c r="AE42" t="s">
        <v>507</v>
      </c>
      <c r="AF42">
        <v>90000</v>
      </c>
      <c r="AG42" t="s">
        <v>508</v>
      </c>
      <c r="AH42">
        <v>0.88</v>
      </c>
      <c r="AI42">
        <v>0.42</v>
      </c>
      <c r="AJ42">
        <v>0</v>
      </c>
      <c r="AK42">
        <v>26</v>
      </c>
      <c r="AL42">
        <v>0</v>
      </c>
      <c r="AM42" t="s">
        <v>509</v>
      </c>
      <c r="AN42">
        <v>0</v>
      </c>
      <c r="AO42">
        <v>12</v>
      </c>
      <c r="AP42">
        <v>30</v>
      </c>
      <c r="AQ42" t="s">
        <v>510</v>
      </c>
      <c r="AR42" t="s">
        <v>511</v>
      </c>
      <c r="AS42">
        <v>-20.8</v>
      </c>
      <c r="AT42" t="s">
        <v>512</v>
      </c>
    </row>
    <row r="43" spans="1:46" x14ac:dyDescent="0.25">
      <c r="A43" t="s">
        <v>50</v>
      </c>
      <c r="B43" t="s">
        <v>47</v>
      </c>
      <c r="E43" t="s">
        <v>513</v>
      </c>
      <c r="F43" t="s">
        <v>514</v>
      </c>
      <c r="G43" t="s">
        <v>305</v>
      </c>
      <c r="H43">
        <v>1</v>
      </c>
      <c r="I43" t="s">
        <v>515</v>
      </c>
      <c r="J43" t="s">
        <v>54</v>
      </c>
      <c r="K43" t="s">
        <v>514</v>
      </c>
      <c r="L43" t="s">
        <v>278</v>
      </c>
      <c r="M43" t="s">
        <v>516</v>
      </c>
      <c r="N43" t="s">
        <v>180</v>
      </c>
      <c r="O43" t="s">
        <v>517</v>
      </c>
      <c r="P43" t="s">
        <v>503</v>
      </c>
      <c r="Q43" t="s">
        <v>121</v>
      </c>
      <c r="R43">
        <v>9</v>
      </c>
      <c r="S43">
        <v>55</v>
      </c>
      <c r="T43">
        <v>53</v>
      </c>
      <c r="U43" t="s">
        <v>518</v>
      </c>
      <c r="V43" t="s">
        <v>62</v>
      </c>
      <c r="W43">
        <v>69</v>
      </c>
      <c r="X43">
        <v>41</v>
      </c>
      <c r="Y43">
        <v>0</v>
      </c>
      <c r="Z43" t="s">
        <v>519</v>
      </c>
      <c r="AA43" t="s">
        <v>520</v>
      </c>
      <c r="AB43" t="s">
        <v>677</v>
      </c>
      <c r="AC43" t="s">
        <v>180</v>
      </c>
      <c r="AD43">
        <v>12000000</v>
      </c>
      <c r="AE43" t="s">
        <v>521</v>
      </c>
      <c r="AF43">
        <v>37000</v>
      </c>
      <c r="AG43" t="s">
        <v>522</v>
      </c>
      <c r="AH43">
        <v>0.37</v>
      </c>
      <c r="AI43">
        <v>0.15</v>
      </c>
      <c r="AJ43">
        <v>0</v>
      </c>
      <c r="AK43">
        <v>11</v>
      </c>
      <c r="AL43">
        <v>0</v>
      </c>
      <c r="AM43" t="s">
        <v>523</v>
      </c>
      <c r="AN43">
        <v>0</v>
      </c>
      <c r="AO43">
        <v>4</v>
      </c>
      <c r="AP43">
        <v>30</v>
      </c>
      <c r="AQ43" t="s">
        <v>524</v>
      </c>
      <c r="AR43" t="s">
        <v>525</v>
      </c>
      <c r="AS43">
        <v>-20</v>
      </c>
      <c r="AT43" t="s">
        <v>526</v>
      </c>
    </row>
    <row r="44" spans="1:46" x14ac:dyDescent="0.25">
      <c r="A44" t="s">
        <v>50</v>
      </c>
      <c r="B44" t="s">
        <v>47</v>
      </c>
      <c r="E44" t="s">
        <v>527</v>
      </c>
      <c r="F44" t="s">
        <v>528</v>
      </c>
      <c r="G44" t="s">
        <v>305</v>
      </c>
      <c r="H44">
        <v>1</v>
      </c>
      <c r="I44" t="s">
        <v>529</v>
      </c>
      <c r="J44" t="s">
        <v>54</v>
      </c>
      <c r="K44" t="s">
        <v>528</v>
      </c>
      <c r="L44" t="s">
        <v>55</v>
      </c>
      <c r="M44" t="s">
        <v>530</v>
      </c>
      <c r="N44" t="s">
        <v>57</v>
      </c>
      <c r="O44" t="s">
        <v>531</v>
      </c>
      <c r="P44" t="s">
        <v>532</v>
      </c>
      <c r="Q44" t="s">
        <v>75</v>
      </c>
      <c r="R44">
        <v>2</v>
      </c>
      <c r="S44">
        <v>19</v>
      </c>
      <c r="T44">
        <v>21</v>
      </c>
      <c r="U44" t="s">
        <v>533</v>
      </c>
      <c r="V44" t="s">
        <v>282</v>
      </c>
      <c r="W44">
        <v>2</v>
      </c>
      <c r="X44">
        <v>58</v>
      </c>
      <c r="Y44">
        <v>40</v>
      </c>
      <c r="Z44" t="s">
        <v>534</v>
      </c>
      <c r="AA44" t="s">
        <v>535</v>
      </c>
      <c r="AB44" t="s">
        <v>678</v>
      </c>
      <c r="AC44" t="s">
        <v>57</v>
      </c>
      <c r="AD44">
        <v>300</v>
      </c>
      <c r="AE44" t="s">
        <v>536</v>
      </c>
      <c r="AF44">
        <v>1E-3</v>
      </c>
      <c r="AG44" t="s">
        <v>537</v>
      </c>
      <c r="AS44">
        <v>-0.6</v>
      </c>
      <c r="AT44" t="s">
        <v>538</v>
      </c>
    </row>
    <row r="45" spans="1:46" x14ac:dyDescent="0.25">
      <c r="A45" t="s">
        <v>50</v>
      </c>
      <c r="B45" t="s">
        <v>47</v>
      </c>
      <c r="E45" t="s">
        <v>539</v>
      </c>
      <c r="F45" t="s">
        <v>540</v>
      </c>
      <c r="G45" t="s">
        <v>52</v>
      </c>
      <c r="H45">
        <v>1</v>
      </c>
      <c r="I45" t="s">
        <v>541</v>
      </c>
      <c r="J45" t="s">
        <v>54</v>
      </c>
      <c r="K45" t="s">
        <v>540</v>
      </c>
      <c r="L45" t="s">
        <v>55</v>
      </c>
      <c r="M45" t="s">
        <v>542</v>
      </c>
      <c r="N45" t="s">
        <v>57</v>
      </c>
      <c r="O45" t="s">
        <v>543</v>
      </c>
      <c r="P45" t="s">
        <v>503</v>
      </c>
      <c r="Q45" t="s">
        <v>121</v>
      </c>
      <c r="R45">
        <v>13</v>
      </c>
      <c r="S45">
        <v>24</v>
      </c>
      <c r="T45">
        <v>0</v>
      </c>
      <c r="U45" t="s">
        <v>544</v>
      </c>
      <c r="V45" t="s">
        <v>62</v>
      </c>
      <c r="W45">
        <v>54</v>
      </c>
      <c r="X45">
        <v>56</v>
      </c>
      <c r="Y45">
        <v>0</v>
      </c>
      <c r="Z45" t="s">
        <v>545</v>
      </c>
      <c r="AA45" t="s">
        <v>546</v>
      </c>
      <c r="AB45" t="s">
        <v>770</v>
      </c>
      <c r="AC45" t="s">
        <v>57</v>
      </c>
      <c r="AD45">
        <v>83</v>
      </c>
      <c r="AE45" t="s">
        <v>547</v>
      </c>
      <c r="AF45">
        <v>7.0000000000000001E-3</v>
      </c>
      <c r="AG45" t="s">
        <v>548</v>
      </c>
      <c r="AS45">
        <v>2.2000000000000002</v>
      </c>
      <c r="AT45" t="s">
        <v>103</v>
      </c>
    </row>
    <row r="46" spans="1:46" x14ac:dyDescent="0.25">
      <c r="A46" t="s">
        <v>50</v>
      </c>
      <c r="B46" t="s">
        <v>47</v>
      </c>
      <c r="E46" t="s">
        <v>549</v>
      </c>
      <c r="F46" t="s">
        <v>771</v>
      </c>
      <c r="G46" t="s">
        <v>305</v>
      </c>
      <c r="H46">
        <v>1</v>
      </c>
      <c r="I46" t="s">
        <v>550</v>
      </c>
      <c r="J46" t="s">
        <v>54</v>
      </c>
      <c r="K46" t="s">
        <v>771</v>
      </c>
      <c r="L46" t="s">
        <v>551</v>
      </c>
      <c r="M46" t="s">
        <v>552</v>
      </c>
      <c r="N46" t="s">
        <v>180</v>
      </c>
      <c r="O46" t="s">
        <v>321</v>
      </c>
      <c r="P46" t="s">
        <v>59</v>
      </c>
      <c r="Q46" t="s">
        <v>60</v>
      </c>
      <c r="R46">
        <v>20</v>
      </c>
      <c r="S46">
        <v>58</v>
      </c>
      <c r="T46">
        <v>54</v>
      </c>
      <c r="U46" t="s">
        <v>553</v>
      </c>
      <c r="V46" t="s">
        <v>62</v>
      </c>
      <c r="W46">
        <v>44</v>
      </c>
      <c r="X46">
        <v>20</v>
      </c>
      <c r="Y46">
        <v>0</v>
      </c>
      <c r="Z46" t="s">
        <v>554</v>
      </c>
      <c r="AA46" t="s">
        <v>555</v>
      </c>
      <c r="AB46" t="s">
        <v>772</v>
      </c>
      <c r="AC46" t="s">
        <v>180</v>
      </c>
      <c r="AD46">
        <v>2200</v>
      </c>
      <c r="AE46" t="s">
        <v>556</v>
      </c>
      <c r="AF46">
        <v>100</v>
      </c>
      <c r="AG46" t="s">
        <v>338</v>
      </c>
      <c r="AH46">
        <v>4</v>
      </c>
      <c r="AI46">
        <v>3.5</v>
      </c>
      <c r="AJ46">
        <v>2</v>
      </c>
      <c r="AK46">
        <v>0</v>
      </c>
      <c r="AL46">
        <v>0</v>
      </c>
      <c r="AM46" t="s">
        <v>351</v>
      </c>
      <c r="AN46">
        <v>1</v>
      </c>
      <c r="AO46">
        <v>45</v>
      </c>
      <c r="AP46">
        <v>0</v>
      </c>
      <c r="AQ46" t="s">
        <v>557</v>
      </c>
      <c r="AR46" t="s">
        <v>558</v>
      </c>
      <c r="AS46">
        <v>-6</v>
      </c>
      <c r="AT46" t="s">
        <v>498</v>
      </c>
    </row>
    <row r="47" spans="1:46" x14ac:dyDescent="0.25">
      <c r="A47" t="s">
        <v>50</v>
      </c>
      <c r="B47" t="s">
        <v>47</v>
      </c>
      <c r="E47" t="s">
        <v>559</v>
      </c>
      <c r="F47" t="s">
        <v>146</v>
      </c>
      <c r="G47" t="s">
        <v>52</v>
      </c>
      <c r="H47">
        <v>1</v>
      </c>
      <c r="I47" t="s">
        <v>560</v>
      </c>
      <c r="J47" t="s">
        <v>54</v>
      </c>
      <c r="K47" t="s">
        <v>146</v>
      </c>
      <c r="L47" t="s">
        <v>106</v>
      </c>
      <c r="M47" t="s">
        <v>561</v>
      </c>
      <c r="N47" t="s">
        <v>15</v>
      </c>
      <c r="O47" t="s">
        <v>108</v>
      </c>
      <c r="P47" t="s">
        <v>146</v>
      </c>
      <c r="Q47" t="s">
        <v>147</v>
      </c>
      <c r="R47">
        <v>5</v>
      </c>
      <c r="S47">
        <v>30</v>
      </c>
      <c r="T47">
        <v>0</v>
      </c>
      <c r="U47" t="s">
        <v>562</v>
      </c>
      <c r="V47" t="s">
        <v>62</v>
      </c>
      <c r="W47">
        <v>5</v>
      </c>
      <c r="X47">
        <v>0</v>
      </c>
      <c r="Y47">
        <v>0</v>
      </c>
      <c r="Z47" t="s">
        <v>563</v>
      </c>
      <c r="AA47" t="s">
        <v>564</v>
      </c>
      <c r="AB47" t="s">
        <v>679</v>
      </c>
      <c r="AC47" t="s">
        <v>15</v>
      </c>
      <c r="AH47">
        <v>16</v>
      </c>
      <c r="AI47">
        <v>15</v>
      </c>
      <c r="AJ47">
        <v>8</v>
      </c>
      <c r="AK47">
        <v>0</v>
      </c>
      <c r="AL47">
        <v>0</v>
      </c>
      <c r="AM47" t="s">
        <v>565</v>
      </c>
      <c r="AN47">
        <v>7</v>
      </c>
      <c r="AO47">
        <v>30</v>
      </c>
      <c r="AP47">
        <v>0</v>
      </c>
      <c r="AQ47" t="s">
        <v>566</v>
      </c>
      <c r="AR47" t="s">
        <v>567</v>
      </c>
    </row>
    <row r="48" spans="1:46" x14ac:dyDescent="0.25">
      <c r="A48" t="s">
        <v>50</v>
      </c>
      <c r="B48" t="s">
        <v>47</v>
      </c>
      <c r="E48" t="s">
        <v>568</v>
      </c>
      <c r="F48" t="s">
        <v>773</v>
      </c>
      <c r="G48" t="s">
        <v>52</v>
      </c>
      <c r="H48">
        <v>1</v>
      </c>
      <c r="I48" t="s">
        <v>569</v>
      </c>
      <c r="J48" t="s">
        <v>54</v>
      </c>
      <c r="K48" t="s">
        <v>773</v>
      </c>
      <c r="L48" t="s">
        <v>233</v>
      </c>
      <c r="M48" t="s">
        <v>570</v>
      </c>
      <c r="N48" t="s">
        <v>132</v>
      </c>
      <c r="O48" t="s">
        <v>234</v>
      </c>
      <c r="P48" t="s">
        <v>74</v>
      </c>
      <c r="Q48" t="s">
        <v>60</v>
      </c>
      <c r="R48">
        <v>3</v>
      </c>
      <c r="S48">
        <v>4</v>
      </c>
      <c r="T48">
        <v>0</v>
      </c>
      <c r="U48" t="s">
        <v>571</v>
      </c>
      <c r="V48" t="s">
        <v>62</v>
      </c>
      <c r="W48">
        <v>58</v>
      </c>
      <c r="X48">
        <v>0</v>
      </c>
      <c r="Y48">
        <v>0</v>
      </c>
      <c r="Z48" t="s">
        <v>572</v>
      </c>
      <c r="AA48" t="s">
        <v>573</v>
      </c>
      <c r="AB48" t="s">
        <v>774</v>
      </c>
      <c r="AC48" t="s">
        <v>132</v>
      </c>
      <c r="AH48">
        <v>180</v>
      </c>
      <c r="AI48">
        <v>90</v>
      </c>
      <c r="AJ48">
        <v>90</v>
      </c>
      <c r="AK48">
        <v>0</v>
      </c>
      <c r="AL48">
        <v>0</v>
      </c>
      <c r="AM48" t="s">
        <v>238</v>
      </c>
      <c r="AN48">
        <v>45</v>
      </c>
      <c r="AO48">
        <v>0</v>
      </c>
      <c r="AP48">
        <v>0</v>
      </c>
      <c r="AQ48" t="s">
        <v>239</v>
      </c>
      <c r="AR48" t="s">
        <v>240</v>
      </c>
    </row>
    <row r="49" spans="1:46" x14ac:dyDescent="0.25">
      <c r="A49" t="s">
        <v>50</v>
      </c>
      <c r="B49" t="s">
        <v>47</v>
      </c>
      <c r="E49" t="s">
        <v>574</v>
      </c>
      <c r="F49" t="s">
        <v>775</v>
      </c>
      <c r="G49" t="s">
        <v>52</v>
      </c>
      <c r="H49">
        <v>1</v>
      </c>
      <c r="I49" t="s">
        <v>575</v>
      </c>
      <c r="J49" t="s">
        <v>54</v>
      </c>
      <c r="K49" t="s">
        <v>775</v>
      </c>
      <c r="L49" t="s">
        <v>106</v>
      </c>
      <c r="M49" t="s">
        <v>570</v>
      </c>
      <c r="N49" t="s">
        <v>15</v>
      </c>
      <c r="O49" t="s">
        <v>108</v>
      </c>
      <c r="P49" t="s">
        <v>74</v>
      </c>
      <c r="Q49" t="s">
        <v>75</v>
      </c>
      <c r="R49">
        <v>3</v>
      </c>
      <c r="S49">
        <v>10</v>
      </c>
      <c r="T49">
        <v>0</v>
      </c>
      <c r="U49" t="s">
        <v>576</v>
      </c>
      <c r="V49" t="s">
        <v>62</v>
      </c>
      <c r="W49">
        <v>45</v>
      </c>
      <c r="X49">
        <v>0</v>
      </c>
      <c r="Y49">
        <v>0</v>
      </c>
      <c r="Z49" t="s">
        <v>577</v>
      </c>
      <c r="AA49" t="s">
        <v>578</v>
      </c>
      <c r="AB49" t="s">
        <v>680</v>
      </c>
      <c r="AC49" t="s">
        <v>15</v>
      </c>
      <c r="AH49">
        <v>15.48</v>
      </c>
      <c r="AI49">
        <v>11.61</v>
      </c>
      <c r="AJ49">
        <v>8</v>
      </c>
      <c r="AK49">
        <v>0</v>
      </c>
      <c r="AL49">
        <v>0</v>
      </c>
      <c r="AM49" t="s">
        <v>565</v>
      </c>
      <c r="AN49">
        <v>6</v>
      </c>
      <c r="AO49">
        <v>0</v>
      </c>
      <c r="AP49">
        <v>0</v>
      </c>
      <c r="AQ49" t="s">
        <v>205</v>
      </c>
      <c r="AR49" t="s">
        <v>579</v>
      </c>
    </row>
    <row r="50" spans="1:46" x14ac:dyDescent="0.25">
      <c r="A50" t="s">
        <v>50</v>
      </c>
      <c r="B50" t="s">
        <v>47</v>
      </c>
      <c r="E50" t="s">
        <v>580</v>
      </c>
      <c r="F50" t="s">
        <v>776</v>
      </c>
      <c r="G50" t="s">
        <v>52</v>
      </c>
      <c r="H50">
        <v>1</v>
      </c>
      <c r="I50" t="s">
        <v>581</v>
      </c>
      <c r="J50" t="s">
        <v>54</v>
      </c>
      <c r="K50" t="s">
        <v>776</v>
      </c>
      <c r="L50" t="s">
        <v>55</v>
      </c>
      <c r="M50" t="s">
        <v>582</v>
      </c>
      <c r="N50" t="s">
        <v>57</v>
      </c>
      <c r="O50" t="s">
        <v>583</v>
      </c>
      <c r="P50" t="s">
        <v>584</v>
      </c>
      <c r="Q50" t="s">
        <v>585</v>
      </c>
      <c r="R50">
        <v>2</v>
      </c>
      <c r="S50">
        <v>31</v>
      </c>
      <c r="T50">
        <v>49</v>
      </c>
      <c r="U50" t="s">
        <v>586</v>
      </c>
      <c r="V50" t="s">
        <v>62</v>
      </c>
      <c r="W50">
        <v>89</v>
      </c>
      <c r="X50">
        <v>15</v>
      </c>
      <c r="Y50">
        <v>51</v>
      </c>
      <c r="Z50" t="s">
        <v>587</v>
      </c>
      <c r="AA50" t="s">
        <v>588</v>
      </c>
      <c r="AB50" t="s">
        <v>777</v>
      </c>
      <c r="AC50" t="s">
        <v>57</v>
      </c>
      <c r="AD50">
        <v>433</v>
      </c>
      <c r="AE50" t="s">
        <v>589</v>
      </c>
      <c r="AF50">
        <v>5.0000000000000001E-4</v>
      </c>
      <c r="AG50" t="s">
        <v>590</v>
      </c>
      <c r="AS50">
        <v>-3.6</v>
      </c>
      <c r="AT50" t="s">
        <v>591</v>
      </c>
    </row>
    <row r="51" spans="1:46" x14ac:dyDescent="0.25">
      <c r="A51" t="s">
        <v>50</v>
      </c>
      <c r="B51" t="s">
        <v>47</v>
      </c>
      <c r="E51" t="s">
        <v>592</v>
      </c>
      <c r="F51" t="s">
        <v>593</v>
      </c>
      <c r="G51" t="s">
        <v>52</v>
      </c>
      <c r="H51">
        <v>1</v>
      </c>
      <c r="I51" t="s">
        <v>594</v>
      </c>
      <c r="J51" t="s">
        <v>54</v>
      </c>
      <c r="K51" t="s">
        <v>593</v>
      </c>
      <c r="L51" t="s">
        <v>55</v>
      </c>
      <c r="M51" t="s">
        <v>595</v>
      </c>
      <c r="N51" t="s">
        <v>57</v>
      </c>
      <c r="O51" t="s">
        <v>596</v>
      </c>
      <c r="P51" t="s">
        <v>423</v>
      </c>
      <c r="Q51" t="s">
        <v>147</v>
      </c>
      <c r="R51">
        <v>6</v>
      </c>
      <c r="S51">
        <v>45</v>
      </c>
      <c r="T51">
        <v>8.9</v>
      </c>
      <c r="U51" t="s">
        <v>597</v>
      </c>
      <c r="V51" t="s">
        <v>282</v>
      </c>
      <c r="W51">
        <v>16</v>
      </c>
      <c r="X51">
        <v>42</v>
      </c>
      <c r="Y51">
        <v>58</v>
      </c>
      <c r="Z51" t="s">
        <v>598</v>
      </c>
      <c r="AA51" t="s">
        <v>599</v>
      </c>
      <c r="AB51" t="s">
        <v>681</v>
      </c>
      <c r="AC51" t="s">
        <v>57</v>
      </c>
      <c r="AD51">
        <v>8.6</v>
      </c>
      <c r="AE51" t="s">
        <v>600</v>
      </c>
      <c r="AF51">
        <v>2.4999999999999999E-7</v>
      </c>
      <c r="AG51" t="s">
        <v>601</v>
      </c>
      <c r="AS51">
        <v>1.42</v>
      </c>
      <c r="AT51" t="s">
        <v>602</v>
      </c>
    </row>
    <row r="52" spans="1:46" x14ac:dyDescent="0.25">
      <c r="A52" t="s">
        <v>50</v>
      </c>
      <c r="B52" t="s">
        <v>47</v>
      </c>
      <c r="E52" t="s">
        <v>603</v>
      </c>
      <c r="F52" t="s">
        <v>503</v>
      </c>
      <c r="G52" t="s">
        <v>52</v>
      </c>
      <c r="H52">
        <v>1</v>
      </c>
      <c r="I52" t="s">
        <v>604</v>
      </c>
      <c r="J52" t="s">
        <v>54</v>
      </c>
      <c r="K52" t="s">
        <v>503</v>
      </c>
      <c r="L52" t="s">
        <v>106</v>
      </c>
      <c r="M52" t="s">
        <v>605</v>
      </c>
      <c r="N52" t="s">
        <v>15</v>
      </c>
      <c r="O52" t="s">
        <v>108</v>
      </c>
      <c r="P52" t="s">
        <v>503</v>
      </c>
      <c r="Q52" t="s">
        <v>121</v>
      </c>
      <c r="R52">
        <v>11</v>
      </c>
      <c r="S52">
        <v>0</v>
      </c>
      <c r="T52">
        <v>0</v>
      </c>
      <c r="U52" t="s">
        <v>606</v>
      </c>
      <c r="V52" t="s">
        <v>62</v>
      </c>
      <c r="W52">
        <v>56</v>
      </c>
      <c r="X52">
        <v>0</v>
      </c>
      <c r="Y52">
        <v>0</v>
      </c>
      <c r="Z52" t="s">
        <v>607</v>
      </c>
      <c r="AA52" t="s">
        <v>608</v>
      </c>
      <c r="AB52" t="s">
        <v>682</v>
      </c>
      <c r="AC52" t="s">
        <v>15</v>
      </c>
      <c r="AH52">
        <v>23.23</v>
      </c>
      <c r="AI52">
        <v>15.48</v>
      </c>
      <c r="AJ52">
        <v>12</v>
      </c>
      <c r="AK52">
        <v>0</v>
      </c>
      <c r="AL52">
        <v>0</v>
      </c>
      <c r="AM52" t="s">
        <v>609</v>
      </c>
      <c r="AN52">
        <v>8</v>
      </c>
      <c r="AO52">
        <v>0</v>
      </c>
      <c r="AP52">
        <v>0</v>
      </c>
      <c r="AQ52" t="s">
        <v>565</v>
      </c>
      <c r="AR52" t="s">
        <v>610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42EB6-033C-42BF-9E1D-DED894C3BFBF}">
  <dimension ref="A1:J10"/>
  <sheetViews>
    <sheetView tabSelected="1" workbookViewId="0">
      <selection activeCell="J5" sqref="J5"/>
    </sheetView>
  </sheetViews>
  <sheetFormatPr defaultRowHeight="15" x14ac:dyDescent="0.25"/>
  <cols>
    <col min="1" max="1" width="20.85546875" bestFit="1" customWidth="1"/>
    <col min="2" max="2" width="14.5703125" bestFit="1" customWidth="1"/>
    <col min="3" max="3" width="22.42578125" bestFit="1" customWidth="1"/>
    <col min="4" max="4" width="5" bestFit="1" customWidth="1"/>
    <col min="5" max="5" width="23.85546875" bestFit="1" customWidth="1"/>
    <col min="6" max="6" width="13.42578125" bestFit="1" customWidth="1"/>
    <col min="7" max="7" width="11.5703125" bestFit="1" customWidth="1"/>
    <col min="8" max="8" width="21.5703125" bestFit="1" customWidth="1"/>
    <col min="9" max="9" width="11.140625" bestFit="1" customWidth="1"/>
    <col min="10" max="10" width="64.140625" bestFit="1" customWidth="1"/>
  </cols>
  <sheetData>
    <row r="1" spans="1:10" x14ac:dyDescent="0.25">
      <c r="A1" t="s">
        <v>687</v>
      </c>
      <c r="B1" t="s">
        <v>688</v>
      </c>
      <c r="C1" t="s">
        <v>689</v>
      </c>
      <c r="D1" t="s">
        <v>690</v>
      </c>
      <c r="E1" t="s">
        <v>8</v>
      </c>
      <c r="F1" t="s">
        <v>691</v>
      </c>
      <c r="G1" t="s">
        <v>692</v>
      </c>
      <c r="H1" t="s">
        <v>693</v>
      </c>
      <c r="I1" t="s">
        <v>694</v>
      </c>
      <c r="J1" t="s">
        <v>695</v>
      </c>
    </row>
    <row r="2" spans="1:10" x14ac:dyDescent="0.25">
      <c r="A2" t="s">
        <v>696</v>
      </c>
      <c r="B2" t="s">
        <v>697</v>
      </c>
      <c r="C2" t="s">
        <v>784</v>
      </c>
      <c r="D2">
        <v>1</v>
      </c>
      <c r="E2" t="s">
        <v>698</v>
      </c>
      <c r="F2">
        <v>2</v>
      </c>
      <c r="G2">
        <v>1.25</v>
      </c>
      <c r="H2" t="s">
        <v>699</v>
      </c>
      <c r="I2">
        <v>16</v>
      </c>
      <c r="J2" t="s">
        <v>778</v>
      </c>
    </row>
    <row r="3" spans="1:10" x14ac:dyDescent="0.25">
      <c r="A3" t="s">
        <v>700</v>
      </c>
      <c r="B3" t="s">
        <v>697</v>
      </c>
      <c r="C3" t="s">
        <v>785</v>
      </c>
      <c r="D3">
        <v>2</v>
      </c>
      <c r="E3" t="s">
        <v>701</v>
      </c>
      <c r="F3">
        <v>3</v>
      </c>
      <c r="G3">
        <v>1.5</v>
      </c>
      <c r="H3" t="s">
        <v>699</v>
      </c>
      <c r="I3">
        <v>10</v>
      </c>
      <c r="J3" t="s">
        <v>702</v>
      </c>
    </row>
    <row r="4" spans="1:10" x14ac:dyDescent="0.25">
      <c r="A4" t="s">
        <v>703</v>
      </c>
      <c r="B4" t="s">
        <v>697</v>
      </c>
      <c r="C4" t="s">
        <v>786</v>
      </c>
      <c r="D4">
        <v>3</v>
      </c>
      <c r="E4" t="s">
        <v>704</v>
      </c>
      <c r="F4">
        <v>4</v>
      </c>
      <c r="G4">
        <v>2</v>
      </c>
      <c r="H4" t="s">
        <v>699</v>
      </c>
      <c r="I4">
        <v>4</v>
      </c>
      <c r="J4" t="s">
        <v>779</v>
      </c>
    </row>
    <row r="5" spans="1:10" x14ac:dyDescent="0.25">
      <c r="A5" t="s">
        <v>705</v>
      </c>
      <c r="B5" t="s">
        <v>706</v>
      </c>
      <c r="C5" t="s">
        <v>787</v>
      </c>
      <c r="D5">
        <v>1</v>
      </c>
      <c r="E5" t="s">
        <v>707</v>
      </c>
      <c r="F5">
        <v>2</v>
      </c>
      <c r="G5">
        <v>8</v>
      </c>
      <c r="H5" t="s">
        <v>803</v>
      </c>
      <c r="I5">
        <v>16</v>
      </c>
      <c r="J5" t="s">
        <v>780</v>
      </c>
    </row>
    <row r="6" spans="1:10" x14ac:dyDescent="0.25">
      <c r="A6" t="s">
        <v>708</v>
      </c>
      <c r="B6" t="s">
        <v>706</v>
      </c>
      <c r="C6" t="s">
        <v>788</v>
      </c>
      <c r="D6">
        <v>2</v>
      </c>
      <c r="E6" t="s">
        <v>709</v>
      </c>
      <c r="F6">
        <v>3</v>
      </c>
      <c r="G6">
        <v>12</v>
      </c>
      <c r="H6" t="s">
        <v>803</v>
      </c>
      <c r="I6">
        <v>10</v>
      </c>
      <c r="J6" t="s">
        <v>710</v>
      </c>
    </row>
    <row r="7" spans="1:10" x14ac:dyDescent="0.25">
      <c r="A7" t="s">
        <v>711</v>
      </c>
      <c r="B7" t="s">
        <v>706</v>
      </c>
      <c r="C7" t="s">
        <v>789</v>
      </c>
      <c r="D7">
        <v>3</v>
      </c>
      <c r="E7" t="s">
        <v>712</v>
      </c>
      <c r="F7">
        <v>4</v>
      </c>
      <c r="G7">
        <v>18</v>
      </c>
      <c r="H7" t="s">
        <v>803</v>
      </c>
      <c r="I7">
        <v>4</v>
      </c>
      <c r="J7" t="s">
        <v>781</v>
      </c>
    </row>
    <row r="8" spans="1:10" x14ac:dyDescent="0.25">
      <c r="A8" t="s">
        <v>713</v>
      </c>
      <c r="B8" t="s">
        <v>714</v>
      </c>
      <c r="C8" t="s">
        <v>790</v>
      </c>
      <c r="D8">
        <v>1</v>
      </c>
      <c r="E8" t="s">
        <v>715</v>
      </c>
      <c r="F8">
        <v>2</v>
      </c>
      <c r="G8">
        <v>6</v>
      </c>
      <c r="H8" t="s">
        <v>716</v>
      </c>
      <c r="I8">
        <v>16</v>
      </c>
      <c r="J8" t="s">
        <v>782</v>
      </c>
    </row>
    <row r="9" spans="1:10" x14ac:dyDescent="0.25">
      <c r="A9" t="s">
        <v>717</v>
      </c>
      <c r="B9" t="s">
        <v>714</v>
      </c>
      <c r="C9" t="s">
        <v>791</v>
      </c>
      <c r="D9">
        <v>2</v>
      </c>
      <c r="E9" t="s">
        <v>718</v>
      </c>
      <c r="F9">
        <v>3</v>
      </c>
      <c r="G9">
        <v>10</v>
      </c>
      <c r="H9" t="s">
        <v>716</v>
      </c>
      <c r="I9">
        <v>10</v>
      </c>
      <c r="J9" t="s">
        <v>783</v>
      </c>
    </row>
    <row r="10" spans="1:10" x14ac:dyDescent="0.25">
      <c r="A10" t="s">
        <v>719</v>
      </c>
      <c r="B10" t="s">
        <v>714</v>
      </c>
      <c r="C10" t="s">
        <v>792</v>
      </c>
      <c r="D10">
        <v>3</v>
      </c>
      <c r="E10" t="s">
        <v>720</v>
      </c>
      <c r="F10">
        <v>4</v>
      </c>
      <c r="G10">
        <v>15</v>
      </c>
      <c r="H10" t="s">
        <v>716</v>
      </c>
      <c r="I10">
        <v>4</v>
      </c>
      <c r="J10" t="s">
        <v>721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workbookViewId="0">
      <selection activeCell="B11" sqref="B11"/>
    </sheetView>
  </sheetViews>
  <sheetFormatPr defaultRowHeight="15" x14ac:dyDescent="0.25"/>
  <cols>
    <col min="1" max="1" width="23.140625" bestFit="1" customWidth="1"/>
    <col min="2" max="2" width="14.42578125" customWidth="1"/>
    <col min="3" max="3" width="10.7109375" customWidth="1"/>
    <col min="4" max="4" width="24.85546875" bestFit="1" customWidth="1"/>
    <col min="5" max="6" width="14.42578125" customWidth="1"/>
    <col min="7" max="7" width="24.85546875" bestFit="1" customWidth="1"/>
    <col min="8" max="8" width="12" bestFit="1" customWidth="1"/>
  </cols>
  <sheetData>
    <row r="1" spans="1:8" x14ac:dyDescent="0.25">
      <c r="A1" t="s">
        <v>611</v>
      </c>
    </row>
    <row r="3" spans="1:8" x14ac:dyDescent="0.25">
      <c r="A3" t="s">
        <v>612</v>
      </c>
      <c r="B3" s="2">
        <v>5</v>
      </c>
      <c r="D3" t="s">
        <v>662</v>
      </c>
    </row>
    <row r="4" spans="1:8" x14ac:dyDescent="0.25">
      <c r="A4" t="s">
        <v>613</v>
      </c>
      <c r="B4" s="2">
        <v>6</v>
      </c>
      <c r="D4" s="1">
        <f>B3*24/B4</f>
        <v>20</v>
      </c>
    </row>
    <row r="6" spans="1:8" x14ac:dyDescent="0.25">
      <c r="A6" t="s">
        <v>646</v>
      </c>
      <c r="B6" s="1">
        <f>B3*24/B4-SUM(B7:B10)</f>
        <v>9.8571428571428577</v>
      </c>
    </row>
    <row r="7" spans="1:8" x14ac:dyDescent="0.25">
      <c r="A7" t="s">
        <v>647</v>
      </c>
      <c r="B7" s="2">
        <v>6</v>
      </c>
    </row>
    <row r="8" spans="1:8" x14ac:dyDescent="0.25">
      <c r="A8" t="s">
        <v>648</v>
      </c>
      <c r="B8" s="2">
        <v>3</v>
      </c>
    </row>
    <row r="9" spans="1:8" x14ac:dyDescent="0.25">
      <c r="A9" t="s">
        <v>649</v>
      </c>
      <c r="B9" s="2">
        <v>1</v>
      </c>
    </row>
    <row r="10" spans="1:8" x14ac:dyDescent="0.25">
      <c r="A10" t="s">
        <v>796</v>
      </c>
      <c r="B10" s="2">
        <f>1/7</f>
        <v>0.14285714285714285</v>
      </c>
      <c r="D10" t="s">
        <v>793</v>
      </c>
    </row>
    <row r="11" spans="1:8" x14ac:dyDescent="0.25">
      <c r="A11" t="s">
        <v>795</v>
      </c>
      <c r="B11" s="1">
        <f>D4-B12</f>
        <v>18</v>
      </c>
      <c r="D11" s="2">
        <v>10</v>
      </c>
    </row>
    <row r="12" spans="1:8" x14ac:dyDescent="0.25">
      <c r="A12" t="s">
        <v>794</v>
      </c>
      <c r="B12" s="1">
        <f>D11*D4/100</f>
        <v>2</v>
      </c>
    </row>
    <row r="14" spans="1:8" x14ac:dyDescent="0.25">
      <c r="A14" t="s">
        <v>650</v>
      </c>
      <c r="B14" s="1">
        <f>$D$4*E14/100</f>
        <v>10</v>
      </c>
      <c r="D14" t="s">
        <v>683</v>
      </c>
      <c r="E14" s="1">
        <f>100-SUM(E15:E17)</f>
        <v>50</v>
      </c>
      <c r="G14" t="s">
        <v>657</v>
      </c>
      <c r="H14" s="1">
        <f>1/(B14*$D$11/100)</f>
        <v>1</v>
      </c>
    </row>
    <row r="15" spans="1:8" x14ac:dyDescent="0.25">
      <c r="A15" t="s">
        <v>651</v>
      </c>
      <c r="B15" s="1">
        <f t="shared" ref="B15:B17" si="0">$D$4*E15/100</f>
        <v>6</v>
      </c>
      <c r="D15" t="s">
        <v>684</v>
      </c>
      <c r="E15" s="2">
        <v>30</v>
      </c>
      <c r="G15" t="s">
        <v>656</v>
      </c>
      <c r="H15" s="1">
        <f>1/(B15*$D$11/100)</f>
        <v>1.6666666666666667</v>
      </c>
    </row>
    <row r="16" spans="1:8" x14ac:dyDescent="0.25">
      <c r="A16" t="s">
        <v>652</v>
      </c>
      <c r="B16" s="1">
        <f t="shared" si="0"/>
        <v>3</v>
      </c>
      <c r="D16" t="s">
        <v>685</v>
      </c>
      <c r="E16" s="2">
        <v>15</v>
      </c>
      <c r="G16" t="s">
        <v>655</v>
      </c>
      <c r="H16" s="1">
        <f>1/(B16*$D$11/100)</f>
        <v>3.3333333333333335</v>
      </c>
    </row>
    <row r="17" spans="1:8" x14ac:dyDescent="0.25">
      <c r="A17" t="s">
        <v>653</v>
      </c>
      <c r="B17" s="1">
        <f t="shared" si="0"/>
        <v>1</v>
      </c>
      <c r="D17" t="s">
        <v>686</v>
      </c>
      <c r="E17" s="2">
        <v>5</v>
      </c>
      <c r="G17" t="s">
        <v>654</v>
      </c>
      <c r="H17" s="1">
        <f>1/(B17*$D$11/100)</f>
        <v>10</v>
      </c>
    </row>
    <row r="19" spans="1:8" x14ac:dyDescent="0.25">
      <c r="A19" t="s">
        <v>722</v>
      </c>
      <c r="B19" s="2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72"/>
  <sheetViews>
    <sheetView topLeftCell="B1" workbookViewId="0">
      <selection activeCell="L13" sqref="L13"/>
    </sheetView>
  </sheetViews>
  <sheetFormatPr defaultRowHeight="15" x14ac:dyDescent="0.25"/>
  <cols>
    <col min="1" max="1" width="20.42578125" bestFit="1" customWidth="1"/>
    <col min="2" max="2" width="28" bestFit="1" customWidth="1"/>
    <col min="3" max="3" width="31.140625" bestFit="1" customWidth="1"/>
    <col min="4" max="4" width="16.5703125" bestFit="1" customWidth="1"/>
    <col min="5" max="5" width="21" bestFit="1" customWidth="1"/>
    <col min="6" max="6" width="22.140625" bestFit="1" customWidth="1"/>
    <col min="7" max="7" width="16.85546875" bestFit="1" customWidth="1"/>
    <col min="8" max="8" width="15.85546875" bestFit="1" customWidth="1"/>
    <col min="9" max="9" width="6.85546875" bestFit="1" customWidth="1"/>
    <col min="10" max="10" width="12.42578125" bestFit="1" customWidth="1"/>
    <col min="11" max="11" width="7.28515625" bestFit="1" customWidth="1"/>
    <col min="12" max="12" width="12.85546875" bestFit="1" customWidth="1"/>
    <col min="13" max="13" width="8.85546875" bestFit="1" customWidth="1"/>
    <col min="14" max="14" width="14.5703125" bestFit="1" customWidth="1"/>
    <col min="15" max="15" width="8.42578125" bestFit="1" customWidth="1"/>
    <col min="16" max="16" width="14.140625" bestFit="1" customWidth="1"/>
    <col min="17" max="17" width="7.85546875" bestFit="1" customWidth="1"/>
    <col min="18" max="18" width="13.5703125" bestFit="1" customWidth="1"/>
    <col min="19" max="19" width="12" bestFit="1" customWidth="1"/>
  </cols>
  <sheetData>
    <row r="1" spans="1:8" x14ac:dyDescent="0.25">
      <c r="A1" t="s">
        <v>614</v>
      </c>
    </row>
    <row r="2" spans="1:8" x14ac:dyDescent="0.25">
      <c r="A2" t="s">
        <v>9</v>
      </c>
      <c r="B2" t="s">
        <v>615</v>
      </c>
      <c r="C2" t="s">
        <v>616</v>
      </c>
      <c r="D2" t="s">
        <v>617</v>
      </c>
      <c r="E2" t="s">
        <v>618</v>
      </c>
      <c r="F2" t="s">
        <v>619</v>
      </c>
      <c r="G2" t="s">
        <v>620</v>
      </c>
      <c r="H2" t="s">
        <v>621</v>
      </c>
    </row>
    <row r="3" spans="1:8" x14ac:dyDescent="0.25">
      <c r="A3" t="s">
        <v>54</v>
      </c>
      <c r="B3" t="s">
        <v>622</v>
      </c>
      <c r="C3" t="s">
        <v>623</v>
      </c>
      <c r="D3" t="s">
        <v>624</v>
      </c>
      <c r="E3">
        <f>Donnees!B6</f>
        <v>9.8571428571428577</v>
      </c>
      <c r="F3">
        <f>E3/SUMPRODUCT($E$3:$E$6)</f>
        <v>0.49640287769784175</v>
      </c>
      <c r="G3">
        <f>1/(F3*Donnees!$B$3)</f>
        <v>0.40289855072463765</v>
      </c>
      <c r="H3">
        <f>1/(1/G3*24/Donnees!$B$4)</f>
        <v>0.10072463768115941</v>
      </c>
    </row>
    <row r="4" spans="1:8" x14ac:dyDescent="0.25">
      <c r="A4" t="s">
        <v>54</v>
      </c>
      <c r="B4" t="s">
        <v>622</v>
      </c>
      <c r="C4" t="s">
        <v>625</v>
      </c>
      <c r="D4" t="s">
        <v>626</v>
      </c>
      <c r="E4">
        <f>Donnees!B7</f>
        <v>6</v>
      </c>
      <c r="F4">
        <f t="shared" ref="F4:F6" si="0">E4/SUMPRODUCT($E$3:$E$6)</f>
        <v>0.30215827338129497</v>
      </c>
      <c r="G4">
        <f>1/(F4*Donnees!$B$3)</f>
        <v>0.66190476190476188</v>
      </c>
      <c r="H4">
        <f>1/(1/G4*24/Donnees!$B$4)</f>
        <v>0.16547619047619047</v>
      </c>
    </row>
    <row r="5" spans="1:8" x14ac:dyDescent="0.25">
      <c r="A5" t="s">
        <v>54</v>
      </c>
      <c r="B5" t="s">
        <v>622</v>
      </c>
      <c r="C5" t="s">
        <v>627</v>
      </c>
      <c r="D5" t="s">
        <v>628</v>
      </c>
      <c r="E5">
        <f>Donnees!B8</f>
        <v>3</v>
      </c>
      <c r="F5">
        <f t="shared" si="0"/>
        <v>0.15107913669064749</v>
      </c>
      <c r="G5">
        <f>1/(F5*Donnees!$B$3)</f>
        <v>1.3238095238095238</v>
      </c>
      <c r="H5">
        <f>1/(1/G5*24/Donnees!$B$4)</f>
        <v>0.33095238095238094</v>
      </c>
    </row>
    <row r="6" spans="1:8" x14ac:dyDescent="0.25">
      <c r="A6" t="s">
        <v>54</v>
      </c>
      <c r="B6" t="s">
        <v>622</v>
      </c>
      <c r="C6" t="s">
        <v>629</v>
      </c>
      <c r="D6" t="s">
        <v>630</v>
      </c>
      <c r="E6">
        <f>Donnees!B9</f>
        <v>1</v>
      </c>
      <c r="F6">
        <f t="shared" si="0"/>
        <v>5.0359712230215826E-2</v>
      </c>
      <c r="G6">
        <f>1/(F6*Donnees!$B$3)</f>
        <v>3.9714285714285715</v>
      </c>
      <c r="H6">
        <f>1/(1/G6*24/Donnees!$B$4)</f>
        <v>0.99285714285714288</v>
      </c>
    </row>
    <row r="7" spans="1:8" x14ac:dyDescent="0.25">
      <c r="A7" t="s">
        <v>54</v>
      </c>
      <c r="B7" t="s">
        <v>622</v>
      </c>
      <c r="C7" t="s">
        <v>634</v>
      </c>
      <c r="D7" t="s">
        <v>635</v>
      </c>
      <c r="E7">
        <f>Donnees!B10</f>
        <v>0.14285714285714285</v>
      </c>
      <c r="F7">
        <f t="shared" ref="F7" si="1">E7/SUMPRODUCT($E$3:$E$6)</f>
        <v>7.1942446043165463E-3</v>
      </c>
      <c r="G7">
        <f>1/(F7*Donnees!$B$3)</f>
        <v>27.8</v>
      </c>
      <c r="H7">
        <f>1/(1/G7*24/Donnees!$B$4)</f>
        <v>6.95</v>
      </c>
    </row>
    <row r="8" spans="1:8" x14ac:dyDescent="0.25">
      <c r="A8" t="s">
        <v>54</v>
      </c>
      <c r="B8" t="s">
        <v>631</v>
      </c>
      <c r="C8" t="s">
        <v>632</v>
      </c>
      <c r="D8" t="s">
        <v>633</v>
      </c>
      <c r="E8">
        <f>Donnees!B11</f>
        <v>18</v>
      </c>
      <c r="F8">
        <f>E8/SUMPRODUCT(E$8:E$9)</f>
        <v>0.9</v>
      </c>
      <c r="G8">
        <f>F8*Donnees!$B$3</f>
        <v>4.5</v>
      </c>
      <c r="H8">
        <f>G8*24/Donnees!$B$4</f>
        <v>18</v>
      </c>
    </row>
    <row r="9" spans="1:8" x14ac:dyDescent="0.25">
      <c r="A9" t="s">
        <v>54</v>
      </c>
      <c r="B9" t="s">
        <v>631</v>
      </c>
      <c r="C9" t="s">
        <v>634</v>
      </c>
      <c r="D9" t="s">
        <v>635</v>
      </c>
      <c r="E9">
        <f>Donnees!B12</f>
        <v>2</v>
      </c>
      <c r="F9">
        <f>E9/SUMPRODUCT(E$8:E$9)</f>
        <v>0.1</v>
      </c>
      <c r="G9">
        <f>F9*Donnees!$B$3</f>
        <v>0.5</v>
      </c>
      <c r="H9">
        <f>G9*24/Donnees!$B$4</f>
        <v>2</v>
      </c>
    </row>
    <row r="11" spans="1:8" x14ac:dyDescent="0.25">
      <c r="A11" t="s">
        <v>636</v>
      </c>
    </row>
    <row r="12" spans="1:8" x14ac:dyDescent="0.25">
      <c r="A12" t="s">
        <v>6</v>
      </c>
      <c r="B12" t="s">
        <v>637</v>
      </c>
      <c r="C12" t="s">
        <v>638</v>
      </c>
      <c r="D12" t="s">
        <v>639</v>
      </c>
      <c r="E12" t="s">
        <v>640</v>
      </c>
      <c r="F12" t="s">
        <v>642</v>
      </c>
    </row>
    <row r="13" spans="1:8" x14ac:dyDescent="0.25">
      <c r="A13" t="s">
        <v>52</v>
      </c>
      <c r="B13" cm="1">
        <f t="array" ref="B13">SUMPRODUCT(--(Table1[rowType]="card"),--(Table1[rarityLabel]=A13))</f>
        <v>25</v>
      </c>
      <c r="C13" cm="1">
        <f t="array" ref="C13">SUMPRODUCT((Table1[rowType]="card")*(Table1[rarityLabel]=A13)*(Table1[cardRarityMultiplier]))*Donnees!B14</f>
        <v>250</v>
      </c>
      <c r="D13">
        <f>Donnees!E14/100</f>
        <v>0.5</v>
      </c>
      <c r="E13">
        <f>D13/B13</f>
        <v>0.02</v>
      </c>
      <c r="F13">
        <f>Donnees!$D$4*E13*B13</f>
        <v>10</v>
      </c>
    </row>
    <row r="14" spans="1:8" x14ac:dyDescent="0.25">
      <c r="A14" t="s">
        <v>70</v>
      </c>
      <c r="B14" cm="1">
        <f t="array" ref="B14">SUMPRODUCT(--(Table1[rowType]="card"),--(Table1[rarityLabel]=A14))</f>
        <v>14</v>
      </c>
      <c r="C14" cm="1">
        <f t="array" ref="C14">SUMPRODUCT((Table1[rowType]="card")*(Table1[rarityLabel]=A14)*(Table1[cardRarityMultiplier]))*Donnees!B15</f>
        <v>84</v>
      </c>
      <c r="D14">
        <f>Donnees!E15/100</f>
        <v>0.3</v>
      </c>
      <c r="E14">
        <f t="shared" ref="E14:E16" si="2">D14/B14</f>
        <v>2.1428571428571429E-2</v>
      </c>
      <c r="F14">
        <f>Donnees!$D$4*E14*B14</f>
        <v>6</v>
      </c>
    </row>
    <row r="15" spans="1:8" x14ac:dyDescent="0.25">
      <c r="A15" t="s">
        <v>305</v>
      </c>
      <c r="B15" cm="1">
        <f t="array" ref="B15">SUMPRODUCT(--(Table1[rowType]="card"),--(Table1[rarityLabel]=A15))</f>
        <v>8</v>
      </c>
      <c r="C15" cm="1">
        <f t="array" ref="C15">SUMPRODUCT((Table1[rowType]="card")*(Table1[rarityLabel]=A15)*(Table1[cardRarityMultiplier]))*Donnees!B16</f>
        <v>24</v>
      </c>
      <c r="D15">
        <f>Donnees!E16/100</f>
        <v>0.15</v>
      </c>
      <c r="E15">
        <f t="shared" si="2"/>
        <v>1.8749999999999999E-2</v>
      </c>
      <c r="F15">
        <f>Donnees!$D$4*E15*B15</f>
        <v>3</v>
      </c>
    </row>
    <row r="16" spans="1:8" x14ac:dyDescent="0.25">
      <c r="A16" t="s">
        <v>128</v>
      </c>
      <c r="B16" cm="1">
        <f t="array" ref="B16">SUMPRODUCT(--(Table1[rowType]="card"),--(Table1[rarityLabel]=A16))</f>
        <v>3</v>
      </c>
      <c r="C16" cm="1">
        <f t="array" ref="C16">SUMPRODUCT((Table1[rowType]="card")*(Table1[rarityLabel]=A16)*(Table1[cardRarityMultiplier]))*Donnees!B17</f>
        <v>3</v>
      </c>
      <c r="D16">
        <f>Donnees!E17/100</f>
        <v>0.05</v>
      </c>
      <c r="E16">
        <f t="shared" si="2"/>
        <v>1.6666666666666666E-2</v>
      </c>
      <c r="F16">
        <f>Donnees!$D$4*E16*B16</f>
        <v>1</v>
      </c>
    </row>
    <row r="18" spans="1:18" x14ac:dyDescent="0.25">
      <c r="A18" t="s">
        <v>641</v>
      </c>
    </row>
    <row r="19" spans="1:18" x14ac:dyDescent="0.25">
      <c r="A19" t="s">
        <v>1</v>
      </c>
      <c r="B19" t="s">
        <v>4</v>
      </c>
      <c r="C19" t="s">
        <v>5</v>
      </c>
      <c r="D19" t="s">
        <v>6</v>
      </c>
      <c r="E19" t="s">
        <v>644</v>
      </c>
      <c r="F19" t="s">
        <v>645</v>
      </c>
      <c r="G19" t="s">
        <v>643</v>
      </c>
      <c r="H19" t="s">
        <v>621</v>
      </c>
      <c r="I19" s="7" t="s">
        <v>658</v>
      </c>
      <c r="J19" s="7" t="s">
        <v>797</v>
      </c>
      <c r="K19" s="9" t="s">
        <v>659</v>
      </c>
      <c r="L19" s="9" t="s">
        <v>798</v>
      </c>
      <c r="M19" s="11" t="s">
        <v>660</v>
      </c>
      <c r="N19" s="11" t="s">
        <v>799</v>
      </c>
      <c r="O19" s="5" t="s">
        <v>661</v>
      </c>
      <c r="P19" s="5" t="s">
        <v>800</v>
      </c>
      <c r="Q19" s="16" t="s">
        <v>801</v>
      </c>
      <c r="R19" s="16" t="s">
        <v>802</v>
      </c>
    </row>
    <row r="20" spans="1:18" x14ac:dyDescent="0.25">
      <c r="A20" t="s">
        <v>47</v>
      </c>
      <c r="B20" t="s">
        <v>51</v>
      </c>
      <c r="C20" t="s">
        <v>723</v>
      </c>
      <c r="D20" t="s">
        <v>52</v>
      </c>
      <c r="E20" s="3">
        <f>VLOOKUP(D20,$A$13:$F$16,5,FALSE)*_xlfn.XLOOKUP(Resultats!C20,Table1[name],Table1[cardRarityMultiplier])</f>
        <v>0.02</v>
      </c>
      <c r="F20" s="3">
        <f>E20/$E$70</f>
        <v>1.9999999999999987E-2</v>
      </c>
      <c r="G20" s="3">
        <f>1-POWER(1-E20,Donnees!$D$4)</f>
        <v>0.33239202824490588</v>
      </c>
      <c r="H20" s="3">
        <f t="shared" ref="H20:H51" si="3">1/G20</f>
        <v>3.0084957370373568</v>
      </c>
      <c r="I20" s="8">
        <f>1/(1-POWER(1-$F20*$F$3*$F$8,Donnees!$D$4))</f>
        <v>6.0857267969823825</v>
      </c>
      <c r="J20" s="8">
        <f>1/(1-POWER(1-$F20*$F$3*$F$9,Donnees!$D$4))</f>
        <v>50.838970189131004</v>
      </c>
      <c r="K20" s="10">
        <f>1/(1-POWER(1-$F20*$F$4*$F$8,Donnees!$D$4))</f>
        <v>9.6771866564579643</v>
      </c>
      <c r="L20" s="10">
        <f>1/(1-POWER(1-$F20*$F$4*$F$9,Donnees!$D$4))</f>
        <v>83.214100215587194</v>
      </c>
      <c r="M20" s="12">
        <f>1/(1-POWER(1-$F20*$F$5*$F$8,Donnees!$D$4))</f>
        <v>18.865770363543039</v>
      </c>
      <c r="N20" s="12">
        <f>1/(1-POWER(1-$F20*$F$5*$F$9,Donnees!$D$4))</f>
        <v>165.95169288991335</v>
      </c>
      <c r="O20" s="6">
        <f>1/(1-POWER(1-$F20*$F$6*$F$8,Donnees!$D$4))</f>
        <v>55.635237848282955</v>
      </c>
      <c r="P20" s="6">
        <f>1/(1-POWER(1-$F20*$F$6*$F$9,Donnees!$D$4))</f>
        <v>496.90373888289122</v>
      </c>
      <c r="Q20" s="16">
        <f>1/(1-POWER(1-$F20*$F$7*$F$8,Donnees!$D$4))</f>
        <v>386.58632641271407</v>
      </c>
      <c r="R20" s="16">
        <f>1/(1-POWER(1-$F20*$F$7*$F$9,Donnees!$D$4))</f>
        <v>3475.4750239175241</v>
      </c>
    </row>
    <row r="21" spans="1:18" x14ac:dyDescent="0.25">
      <c r="A21" t="s">
        <v>47</v>
      </c>
      <c r="B21" t="s">
        <v>68</v>
      </c>
      <c r="C21" t="s">
        <v>69</v>
      </c>
      <c r="D21" t="s">
        <v>70</v>
      </c>
      <c r="E21" s="3">
        <f>VLOOKUP(D21,$A$13:$F$16,5,FALSE)*_xlfn.XLOOKUP(Resultats!C21,Table1[name],Table1[cardRarityMultiplier])</f>
        <v>2.1428571428571429E-2</v>
      </c>
      <c r="F21" s="3">
        <f t="shared" ref="F21:F69" si="4">E21/$E$70</f>
        <v>2.1428571428571415E-2</v>
      </c>
      <c r="G21" s="3">
        <f>1-POWER(1-E21,Donnees!$D$4)</f>
        <v>0.35158861821263243</v>
      </c>
      <c r="H21" s="3">
        <f t="shared" si="3"/>
        <v>2.8442331412310504</v>
      </c>
      <c r="I21" s="8">
        <f>1/(1-POWER(1-$F21*$F$3*$F$8,Donnees!$D$4))</f>
        <v>5.7137417013118368</v>
      </c>
      <c r="J21" s="8">
        <f>1/(1-POWER(1-$F21*$F$3*$F$9,Donnees!$D$4))</f>
        <v>47.481600280957529</v>
      </c>
      <c r="K21" s="10">
        <f>1/(1-POWER(1-$F21*$F$4*$F$8,Donnees!$D$4))</f>
        <v>9.064960983515661</v>
      </c>
      <c r="L21" s="10">
        <f>1/(1-POWER(1-$F21*$F$4*$F$9,Donnees!$D$4))</f>
        <v>77.698299006688089</v>
      </c>
      <c r="M21" s="12">
        <f>1/(1-POWER(1-$F21*$F$5*$F$8,Donnees!$D$4))</f>
        <v>17.640344596567786</v>
      </c>
      <c r="N21" s="12">
        <f>1/(1-POWER(1-$F21*$F$5*$F$9,Donnees!$D$4))</f>
        <v>154.9199827506408</v>
      </c>
      <c r="O21" s="6">
        <f>1/(1-POWER(1-$F21*$F$6*$F$8,Donnees!$D$4))</f>
        <v>51.95809691416796</v>
      </c>
      <c r="P21" s="6">
        <f>1/(1-POWER(1-$F21*$F$6*$F$9,Donnees!$D$4))</f>
        <v>463.80851274980165</v>
      </c>
      <c r="Q21" s="16">
        <f>1/(1-POWER(1-$F21*$F$7*$F$8,Donnees!$D$4))</f>
        <v>360.84560105190172</v>
      </c>
      <c r="R21" s="16">
        <f>1/(1-POWER(1-$F21*$F$7*$F$9,Donnees!$D$4))</f>
        <v>3243.8083589698131</v>
      </c>
    </row>
    <row r="22" spans="1:18" x14ac:dyDescent="0.25">
      <c r="A22" t="s">
        <v>47</v>
      </c>
      <c r="B22" t="s">
        <v>82</v>
      </c>
      <c r="C22" t="s">
        <v>83</v>
      </c>
      <c r="D22" t="s">
        <v>70</v>
      </c>
      <c r="E22" s="3">
        <f>VLOOKUP(D22,$A$13:$F$16,5,FALSE)*_xlfn.XLOOKUP(Resultats!C22,Table1[name],Table1[cardRarityMultiplier])</f>
        <v>2.1428571428571429E-2</v>
      </c>
      <c r="F22" s="3">
        <f t="shared" si="4"/>
        <v>2.1428571428571415E-2</v>
      </c>
      <c r="G22" s="3">
        <f>1-POWER(1-E22,Donnees!$D$4)</f>
        <v>0.35158861821263243</v>
      </c>
      <c r="H22" s="3">
        <f t="shared" si="3"/>
        <v>2.8442331412310504</v>
      </c>
      <c r="I22" s="8">
        <f>1/(1-POWER(1-$F22*$F$3*$F$8,Donnees!$D$4))</f>
        <v>5.7137417013118368</v>
      </c>
      <c r="J22" s="8">
        <f>1/(1-POWER(1-$F22*$F$3*$F$9,Donnees!$D$4))</f>
        <v>47.481600280957529</v>
      </c>
      <c r="K22" s="10">
        <f>1/(1-POWER(1-$F22*$F$4*$F$8,Donnees!$D$4))</f>
        <v>9.064960983515661</v>
      </c>
      <c r="L22" s="10">
        <f>1/(1-POWER(1-$F22*$F$4*$F$9,Donnees!$D$4))</f>
        <v>77.698299006688089</v>
      </c>
      <c r="M22" s="12">
        <f>1/(1-POWER(1-$F22*$F$5*$F$8,Donnees!$D$4))</f>
        <v>17.640344596567786</v>
      </c>
      <c r="N22" s="12">
        <f>1/(1-POWER(1-$F22*$F$5*$F$9,Donnees!$D$4))</f>
        <v>154.9199827506408</v>
      </c>
      <c r="O22" s="6">
        <f>1/(1-POWER(1-$F22*$F$6*$F$8,Donnees!$D$4))</f>
        <v>51.95809691416796</v>
      </c>
      <c r="P22" s="6">
        <f>1/(1-POWER(1-$F22*$F$6*$F$9,Donnees!$D$4))</f>
        <v>463.80851274980165</v>
      </c>
      <c r="Q22" s="16">
        <f>1/(1-POWER(1-$F22*$F$7*$F$8,Donnees!$D$4))</f>
        <v>360.84560105190172</v>
      </c>
      <c r="R22" s="16">
        <f>1/(1-POWER(1-$F22*$F$7*$F$9,Donnees!$D$4))</f>
        <v>3243.8083589698131</v>
      </c>
    </row>
    <row r="23" spans="1:18" x14ac:dyDescent="0.25">
      <c r="A23" t="s">
        <v>47</v>
      </c>
      <c r="B23" t="s">
        <v>93</v>
      </c>
      <c r="C23" t="s">
        <v>727</v>
      </c>
      <c r="D23" t="s">
        <v>52</v>
      </c>
      <c r="E23" s="3">
        <f>VLOOKUP(D23,$A$13:$F$16,5,FALSE)*_xlfn.XLOOKUP(Resultats!C23,Table1[name],Table1[cardRarityMultiplier])</f>
        <v>0.02</v>
      </c>
      <c r="F23" s="3">
        <f t="shared" si="4"/>
        <v>1.9999999999999987E-2</v>
      </c>
      <c r="G23" s="3">
        <f>1-POWER(1-E23,Donnees!$D$4)</f>
        <v>0.33239202824490588</v>
      </c>
      <c r="H23" s="3">
        <f t="shared" si="3"/>
        <v>3.0084957370373568</v>
      </c>
      <c r="I23" s="8">
        <f>1/(1-POWER(1-$F23*$F$3*$F$8,Donnees!$D$4))</f>
        <v>6.0857267969823825</v>
      </c>
      <c r="J23" s="8">
        <f>1/(1-POWER(1-$F23*$F$3*$F$9,Donnees!$D$4))</f>
        <v>50.838970189131004</v>
      </c>
      <c r="K23" s="10">
        <f>1/(1-POWER(1-$F23*$F$4*$F$8,Donnees!$D$4))</f>
        <v>9.6771866564579643</v>
      </c>
      <c r="L23" s="10">
        <f>1/(1-POWER(1-$F23*$F$4*$F$9,Donnees!$D$4))</f>
        <v>83.214100215587194</v>
      </c>
      <c r="M23" s="12">
        <f>1/(1-POWER(1-$F23*$F$5*$F$8,Donnees!$D$4))</f>
        <v>18.865770363543039</v>
      </c>
      <c r="N23" s="12">
        <f>1/(1-POWER(1-$F23*$F$5*$F$9,Donnees!$D$4))</f>
        <v>165.95169288991335</v>
      </c>
      <c r="O23" s="6">
        <f>1/(1-POWER(1-$F23*$F$6*$F$8,Donnees!$D$4))</f>
        <v>55.635237848282955</v>
      </c>
      <c r="P23" s="6">
        <f>1/(1-POWER(1-$F23*$F$6*$F$9,Donnees!$D$4))</f>
        <v>496.90373888289122</v>
      </c>
      <c r="Q23" s="16">
        <f>1/(1-POWER(1-$F23*$F$7*$F$8,Donnees!$D$4))</f>
        <v>386.58632641271407</v>
      </c>
      <c r="R23" s="16">
        <f>1/(1-POWER(1-$F23*$F$7*$F$9,Donnees!$D$4))</f>
        <v>3475.4750239175241</v>
      </c>
    </row>
    <row r="24" spans="1:18" x14ac:dyDescent="0.25">
      <c r="A24" t="s">
        <v>47</v>
      </c>
      <c r="B24" t="s">
        <v>104</v>
      </c>
      <c r="C24" t="s">
        <v>729</v>
      </c>
      <c r="D24" t="s">
        <v>52</v>
      </c>
      <c r="E24" s="3">
        <f>VLOOKUP(D24,$A$13:$F$16,5,FALSE)*_xlfn.XLOOKUP(Resultats!C24,Table1[name],Table1[cardRarityMultiplier])</f>
        <v>0.02</v>
      </c>
      <c r="F24" s="3">
        <f t="shared" si="4"/>
        <v>1.9999999999999987E-2</v>
      </c>
      <c r="G24" s="3">
        <f>1-POWER(1-E24,Donnees!$D$4)</f>
        <v>0.33239202824490588</v>
      </c>
      <c r="H24" s="3">
        <f t="shared" si="3"/>
        <v>3.0084957370373568</v>
      </c>
      <c r="I24" s="8">
        <f>1/(1-POWER(1-$F24*$F$3*$F$8,Donnees!$D$4))</f>
        <v>6.0857267969823825</v>
      </c>
      <c r="J24" s="8">
        <f>1/(1-POWER(1-$F24*$F$3*$F$9,Donnees!$D$4))</f>
        <v>50.838970189131004</v>
      </c>
      <c r="K24" s="10">
        <f>1/(1-POWER(1-$F24*$F$4*$F$8,Donnees!$D$4))</f>
        <v>9.6771866564579643</v>
      </c>
      <c r="L24" s="10">
        <f>1/(1-POWER(1-$F24*$F$4*$F$9,Donnees!$D$4))</f>
        <v>83.214100215587194</v>
      </c>
      <c r="M24" s="12">
        <f>1/(1-POWER(1-$F24*$F$5*$F$8,Donnees!$D$4))</f>
        <v>18.865770363543039</v>
      </c>
      <c r="N24" s="12">
        <f>1/(1-POWER(1-$F24*$F$5*$F$9,Donnees!$D$4))</f>
        <v>165.95169288991335</v>
      </c>
      <c r="O24" s="6">
        <f>1/(1-POWER(1-$F24*$F$6*$F$8,Donnees!$D$4))</f>
        <v>55.635237848282955</v>
      </c>
      <c r="P24" s="6">
        <f>1/(1-POWER(1-$F24*$F$6*$F$9,Donnees!$D$4))</f>
        <v>496.90373888289122</v>
      </c>
      <c r="Q24" s="16">
        <f>1/(1-POWER(1-$F24*$F$7*$F$8,Donnees!$D$4))</f>
        <v>386.58632641271407</v>
      </c>
      <c r="R24" s="16">
        <f>1/(1-POWER(1-$F24*$F$7*$F$9,Donnees!$D$4))</f>
        <v>3475.4750239175241</v>
      </c>
    </row>
    <row r="25" spans="1:18" x14ac:dyDescent="0.25">
      <c r="A25" t="s">
        <v>47</v>
      </c>
      <c r="B25" t="s">
        <v>115</v>
      </c>
      <c r="C25" t="s">
        <v>116</v>
      </c>
      <c r="D25" t="s">
        <v>52</v>
      </c>
      <c r="E25" s="3">
        <f>VLOOKUP(D25,$A$13:$F$16,5,FALSE)*_xlfn.XLOOKUP(Resultats!C25,Table1[name],Table1[cardRarityMultiplier])</f>
        <v>0.02</v>
      </c>
      <c r="F25" s="3">
        <f t="shared" si="4"/>
        <v>1.9999999999999987E-2</v>
      </c>
      <c r="G25" s="3">
        <f>1-POWER(1-E25,Donnees!$D$4)</f>
        <v>0.33239202824490588</v>
      </c>
      <c r="H25" s="3">
        <f t="shared" si="3"/>
        <v>3.0084957370373568</v>
      </c>
      <c r="I25" s="8">
        <f>1/(1-POWER(1-$F25*$F$3*$F$8,Donnees!$D$4))</f>
        <v>6.0857267969823825</v>
      </c>
      <c r="J25" s="8">
        <f>1/(1-POWER(1-$F25*$F$3*$F$9,Donnees!$D$4))</f>
        <v>50.838970189131004</v>
      </c>
      <c r="K25" s="10">
        <f>1/(1-POWER(1-$F25*$F$4*$F$8,Donnees!$D$4))</f>
        <v>9.6771866564579643</v>
      </c>
      <c r="L25" s="10">
        <f>1/(1-POWER(1-$F25*$F$4*$F$9,Donnees!$D$4))</f>
        <v>83.214100215587194</v>
      </c>
      <c r="M25" s="12">
        <f>1/(1-POWER(1-$F25*$F$5*$F$8,Donnees!$D$4))</f>
        <v>18.865770363543039</v>
      </c>
      <c r="N25" s="12">
        <f>1/(1-POWER(1-$F25*$F$5*$F$9,Donnees!$D$4))</f>
        <v>165.95169288991335</v>
      </c>
      <c r="O25" s="6">
        <f>1/(1-POWER(1-$F25*$F$6*$F$8,Donnees!$D$4))</f>
        <v>55.635237848282955</v>
      </c>
      <c r="P25" s="6">
        <f>1/(1-POWER(1-$F25*$F$6*$F$9,Donnees!$D$4))</f>
        <v>496.90373888289122</v>
      </c>
      <c r="Q25" s="16">
        <f>1/(1-POWER(1-$F25*$F$7*$F$8,Donnees!$D$4))</f>
        <v>386.58632641271407</v>
      </c>
      <c r="R25" s="16">
        <f>1/(1-POWER(1-$F25*$F$7*$F$9,Donnees!$D$4))</f>
        <v>3475.4750239175241</v>
      </c>
    </row>
    <row r="26" spans="1:18" x14ac:dyDescent="0.25">
      <c r="A26" t="s">
        <v>47</v>
      </c>
      <c r="B26" t="s">
        <v>127</v>
      </c>
      <c r="C26" t="s">
        <v>732</v>
      </c>
      <c r="D26" t="s">
        <v>128</v>
      </c>
      <c r="E26" s="3">
        <f>VLOOKUP(D26,$A$13:$F$16,5,FALSE)*_xlfn.XLOOKUP(Resultats!C26,Table1[name],Table1[cardRarityMultiplier])</f>
        <v>1.6666666666666666E-2</v>
      </c>
      <c r="F26" s="3">
        <f t="shared" si="4"/>
        <v>1.6666666666666656E-2</v>
      </c>
      <c r="G26" s="3">
        <f>1-POWER(1-E26,Donnees!$D$4)</f>
        <v>0.28547862520944578</v>
      </c>
      <c r="H26" s="3">
        <f t="shared" si="3"/>
        <v>3.5028892242504481</v>
      </c>
      <c r="I26" s="8">
        <f>1/(1-POWER(1-$F26*$F$3*$F$8,Donnees!$D$4))</f>
        <v>7.2023965734528721</v>
      </c>
      <c r="J26" s="8">
        <f>1/(1-POWER(1-$F26*$F$3*$F$9,Donnees!$D$4))</f>
        <v>60.911158621330586</v>
      </c>
      <c r="K26" s="10">
        <f>1/(1-POWER(1-$F26*$F$4*$F$8,Donnees!$D$4))</f>
        <v>11.514297189973696</v>
      </c>
      <c r="L26" s="10">
        <f>1/(1-POWER(1-$F26*$F$4*$F$9,Donnees!$D$4))</f>
        <v>99.761551725391485</v>
      </c>
      <c r="M26" s="12">
        <f>1/(1-POWER(1-$F26*$F$5*$F$8,Donnees!$D$4))</f>
        <v>22.542263745146919</v>
      </c>
      <c r="N26" s="12">
        <f>1/(1-POWER(1-$F26*$F$5*$F$9,Donnees!$D$4))</f>
        <v>199.04684723903111</v>
      </c>
      <c r="O26" s="6">
        <f>1/(1-POWER(1-$F26*$F$6*$F$8,Donnees!$D$4))</f>
        <v>66.666732505570209</v>
      </c>
      <c r="P26" s="6">
        <f>1/(1-POWER(1-$F26*$F$6*$F$9,Donnees!$D$4))</f>
        <v>596.1894252587216</v>
      </c>
      <c r="Q26" s="16">
        <f>1/(1-POWER(1-$F26*$F$7*$F$8,Donnees!$D$4))</f>
        <v>463.80851274980165</v>
      </c>
      <c r="R26" s="16">
        <f>1/(1-POWER(1-$F26*$F$7*$F$9,Donnees!$D$4))</f>
        <v>4170.4750199394775</v>
      </c>
    </row>
    <row r="27" spans="1:18" x14ac:dyDescent="0.25">
      <c r="A27" t="s">
        <v>47</v>
      </c>
      <c r="B27" t="s">
        <v>142</v>
      </c>
      <c r="C27" t="s">
        <v>733</v>
      </c>
      <c r="D27" t="s">
        <v>52</v>
      </c>
      <c r="E27" s="3">
        <f>VLOOKUP(D27,$A$13:$F$16,5,FALSE)*_xlfn.XLOOKUP(Resultats!C27,Table1[name],Table1[cardRarityMultiplier])</f>
        <v>0.02</v>
      </c>
      <c r="F27" s="3">
        <f t="shared" si="4"/>
        <v>1.9999999999999987E-2</v>
      </c>
      <c r="G27" s="3">
        <f>1-POWER(1-E27,Donnees!$D$4)</f>
        <v>0.33239202824490588</v>
      </c>
      <c r="H27" s="3">
        <f t="shared" si="3"/>
        <v>3.0084957370373568</v>
      </c>
      <c r="I27" s="8">
        <f>1/(1-POWER(1-$F27*$F$3*$F$8,Donnees!$D$4))</f>
        <v>6.0857267969823825</v>
      </c>
      <c r="J27" s="8">
        <f>1/(1-POWER(1-$F27*$F$3*$F$9,Donnees!$D$4))</f>
        <v>50.838970189131004</v>
      </c>
      <c r="K27" s="10">
        <f>1/(1-POWER(1-$F27*$F$4*$F$8,Donnees!$D$4))</f>
        <v>9.6771866564579643</v>
      </c>
      <c r="L27" s="10">
        <f>1/(1-POWER(1-$F27*$F$4*$F$9,Donnees!$D$4))</f>
        <v>83.214100215587194</v>
      </c>
      <c r="M27" s="12">
        <f>1/(1-POWER(1-$F27*$F$5*$F$8,Donnees!$D$4))</f>
        <v>18.865770363543039</v>
      </c>
      <c r="N27" s="12">
        <f>1/(1-POWER(1-$F27*$F$5*$F$9,Donnees!$D$4))</f>
        <v>165.95169288991335</v>
      </c>
      <c r="O27" s="6">
        <f>1/(1-POWER(1-$F27*$F$6*$F$8,Donnees!$D$4))</f>
        <v>55.635237848282955</v>
      </c>
      <c r="P27" s="6">
        <f>1/(1-POWER(1-$F27*$F$6*$F$9,Donnees!$D$4))</f>
        <v>496.90373888289122</v>
      </c>
      <c r="Q27" s="16">
        <f>1/(1-POWER(1-$F27*$F$7*$F$8,Donnees!$D$4))</f>
        <v>386.58632641271407</v>
      </c>
      <c r="R27" s="16">
        <f>1/(1-POWER(1-$F27*$F$7*$F$9,Donnees!$D$4))</f>
        <v>3475.4750239175241</v>
      </c>
    </row>
    <row r="28" spans="1:18" x14ac:dyDescent="0.25">
      <c r="A28" t="s">
        <v>47</v>
      </c>
      <c r="B28" t="s">
        <v>154</v>
      </c>
      <c r="C28" t="s">
        <v>155</v>
      </c>
      <c r="D28" t="s">
        <v>52</v>
      </c>
      <c r="E28" s="3">
        <f>VLOOKUP(D28,$A$13:$F$16,5,FALSE)*_xlfn.XLOOKUP(Resultats!C28,Table1[name],Table1[cardRarityMultiplier])</f>
        <v>0.02</v>
      </c>
      <c r="F28" s="3">
        <f t="shared" si="4"/>
        <v>1.9999999999999987E-2</v>
      </c>
      <c r="G28" s="3">
        <f>1-POWER(1-E28,Donnees!$D$4)</f>
        <v>0.33239202824490588</v>
      </c>
      <c r="H28" s="3">
        <f t="shared" si="3"/>
        <v>3.0084957370373568</v>
      </c>
      <c r="I28" s="8">
        <f>1/(1-POWER(1-$F28*$F$3*$F$8,Donnees!$D$4))</f>
        <v>6.0857267969823825</v>
      </c>
      <c r="J28" s="8">
        <f>1/(1-POWER(1-$F28*$F$3*$F$9,Donnees!$D$4))</f>
        <v>50.838970189131004</v>
      </c>
      <c r="K28" s="10">
        <f>1/(1-POWER(1-$F28*$F$4*$F$8,Donnees!$D$4))</f>
        <v>9.6771866564579643</v>
      </c>
      <c r="L28" s="10">
        <f>1/(1-POWER(1-$F28*$F$4*$F$9,Donnees!$D$4))</f>
        <v>83.214100215587194</v>
      </c>
      <c r="M28" s="12">
        <f>1/(1-POWER(1-$F28*$F$5*$F$8,Donnees!$D$4))</f>
        <v>18.865770363543039</v>
      </c>
      <c r="N28" s="12">
        <f>1/(1-POWER(1-$F28*$F$5*$F$9,Donnees!$D$4))</f>
        <v>165.95169288991335</v>
      </c>
      <c r="O28" s="6">
        <f>1/(1-POWER(1-$F28*$F$6*$F$8,Donnees!$D$4))</f>
        <v>55.635237848282955</v>
      </c>
      <c r="P28" s="6">
        <f>1/(1-POWER(1-$F28*$F$6*$F$9,Donnees!$D$4))</f>
        <v>496.90373888289122</v>
      </c>
      <c r="Q28" s="16">
        <f>1/(1-POWER(1-$F28*$F$7*$F$8,Donnees!$D$4))</f>
        <v>386.58632641271407</v>
      </c>
      <c r="R28" s="16">
        <f>1/(1-POWER(1-$F28*$F$7*$F$9,Donnees!$D$4))</f>
        <v>3475.4750239175241</v>
      </c>
    </row>
    <row r="29" spans="1:18" x14ac:dyDescent="0.25">
      <c r="A29" t="s">
        <v>47</v>
      </c>
      <c r="B29" t="s">
        <v>166</v>
      </c>
      <c r="C29" t="s">
        <v>736</v>
      </c>
      <c r="D29" t="s">
        <v>52</v>
      </c>
      <c r="E29" s="3">
        <f>VLOOKUP(D29,$A$13:$F$16,5,FALSE)*_xlfn.XLOOKUP(Resultats!C29,Table1[name],Table1[cardRarityMultiplier])</f>
        <v>0.02</v>
      </c>
      <c r="F29" s="3">
        <f t="shared" si="4"/>
        <v>1.9999999999999987E-2</v>
      </c>
      <c r="G29" s="3">
        <f>1-POWER(1-E29,Donnees!$D$4)</f>
        <v>0.33239202824490588</v>
      </c>
      <c r="H29" s="3">
        <f t="shared" si="3"/>
        <v>3.0084957370373568</v>
      </c>
      <c r="I29" s="8">
        <f>1/(1-POWER(1-$F29*$F$3*$F$8,Donnees!$D$4))</f>
        <v>6.0857267969823825</v>
      </c>
      <c r="J29" s="8">
        <f>1/(1-POWER(1-$F29*$F$3*$F$9,Donnees!$D$4))</f>
        <v>50.838970189131004</v>
      </c>
      <c r="K29" s="10">
        <f>1/(1-POWER(1-$F29*$F$4*$F$8,Donnees!$D$4))</f>
        <v>9.6771866564579643</v>
      </c>
      <c r="L29" s="10">
        <f>1/(1-POWER(1-$F29*$F$4*$F$9,Donnees!$D$4))</f>
        <v>83.214100215587194</v>
      </c>
      <c r="M29" s="12">
        <f>1/(1-POWER(1-$F29*$F$5*$F$8,Donnees!$D$4))</f>
        <v>18.865770363543039</v>
      </c>
      <c r="N29" s="12">
        <f>1/(1-POWER(1-$F29*$F$5*$F$9,Donnees!$D$4))</f>
        <v>165.95169288991335</v>
      </c>
      <c r="O29" s="6">
        <f>1/(1-POWER(1-$F29*$F$6*$F$8,Donnees!$D$4))</f>
        <v>55.635237848282955</v>
      </c>
      <c r="P29" s="6">
        <f>1/(1-POWER(1-$F29*$F$6*$F$9,Donnees!$D$4))</f>
        <v>496.90373888289122</v>
      </c>
      <c r="Q29" s="16">
        <f>1/(1-POWER(1-$F29*$F$7*$F$8,Donnees!$D$4))</f>
        <v>386.58632641271407</v>
      </c>
      <c r="R29" s="16">
        <f>1/(1-POWER(1-$F29*$F$7*$F$9,Donnees!$D$4))</f>
        <v>3475.4750239175241</v>
      </c>
    </row>
    <row r="30" spans="1:18" x14ac:dyDescent="0.25">
      <c r="A30" t="s">
        <v>47</v>
      </c>
      <c r="B30" t="s">
        <v>175</v>
      </c>
      <c r="C30" t="s">
        <v>176</v>
      </c>
      <c r="D30" t="s">
        <v>70</v>
      </c>
      <c r="E30" s="3">
        <f>VLOOKUP(D30,$A$13:$F$16,5,FALSE)*_xlfn.XLOOKUP(Resultats!C30,Table1[name],Table1[cardRarityMultiplier])</f>
        <v>2.1428571428571429E-2</v>
      </c>
      <c r="F30" s="3">
        <f t="shared" si="4"/>
        <v>2.1428571428571415E-2</v>
      </c>
      <c r="G30" s="3">
        <f>1-POWER(1-E30,Donnees!$D$4)</f>
        <v>0.35158861821263243</v>
      </c>
      <c r="H30" s="3">
        <f t="shared" si="3"/>
        <v>2.8442331412310504</v>
      </c>
      <c r="I30" s="8">
        <f>1/(1-POWER(1-$F30*$F$3*$F$8,Donnees!$D$4))</f>
        <v>5.7137417013118368</v>
      </c>
      <c r="J30" s="8">
        <f>1/(1-POWER(1-$F30*$F$3*$F$9,Donnees!$D$4))</f>
        <v>47.481600280957529</v>
      </c>
      <c r="K30" s="10">
        <f>1/(1-POWER(1-$F30*$F$4*$F$8,Donnees!$D$4))</f>
        <v>9.064960983515661</v>
      </c>
      <c r="L30" s="10">
        <f>1/(1-POWER(1-$F30*$F$4*$F$9,Donnees!$D$4))</f>
        <v>77.698299006688089</v>
      </c>
      <c r="M30" s="12">
        <f>1/(1-POWER(1-$F30*$F$5*$F$8,Donnees!$D$4))</f>
        <v>17.640344596567786</v>
      </c>
      <c r="N30" s="12">
        <f>1/(1-POWER(1-$F30*$F$5*$F$9,Donnees!$D$4))</f>
        <v>154.9199827506408</v>
      </c>
      <c r="O30" s="6">
        <f>1/(1-POWER(1-$F30*$F$6*$F$8,Donnees!$D$4))</f>
        <v>51.95809691416796</v>
      </c>
      <c r="P30" s="6">
        <f>1/(1-POWER(1-$F30*$F$6*$F$9,Donnees!$D$4))</f>
        <v>463.80851274980165</v>
      </c>
      <c r="Q30" s="16">
        <f>1/(1-POWER(1-$F30*$F$7*$F$8,Donnees!$D$4))</f>
        <v>360.84560105190172</v>
      </c>
      <c r="R30" s="16">
        <f>1/(1-POWER(1-$F30*$F$7*$F$9,Donnees!$D$4))</f>
        <v>3243.8083589698131</v>
      </c>
    </row>
    <row r="31" spans="1:18" x14ac:dyDescent="0.25">
      <c r="A31" t="s">
        <v>47</v>
      </c>
      <c r="B31" t="s">
        <v>191</v>
      </c>
      <c r="C31" t="s">
        <v>738</v>
      </c>
      <c r="D31" t="s">
        <v>128</v>
      </c>
      <c r="E31" s="3">
        <f>VLOOKUP(D31,$A$13:$F$16,5,FALSE)*_xlfn.XLOOKUP(Resultats!C31,Table1[name],Table1[cardRarityMultiplier])</f>
        <v>1.6666666666666666E-2</v>
      </c>
      <c r="F31" s="3">
        <f t="shared" si="4"/>
        <v>1.6666666666666656E-2</v>
      </c>
      <c r="G31" s="3">
        <f>1-POWER(1-E31,Donnees!$D$4)</f>
        <v>0.28547862520944578</v>
      </c>
      <c r="H31" s="3">
        <f t="shared" si="3"/>
        <v>3.5028892242504481</v>
      </c>
      <c r="I31" s="8">
        <f>1/(1-POWER(1-$F31*$F$3*$F$8,Donnees!$D$4))</f>
        <v>7.2023965734528721</v>
      </c>
      <c r="J31" s="8">
        <f>1/(1-POWER(1-$F31*$F$3*$F$9,Donnees!$D$4))</f>
        <v>60.911158621330586</v>
      </c>
      <c r="K31" s="10">
        <f>1/(1-POWER(1-$F31*$F$4*$F$8,Donnees!$D$4))</f>
        <v>11.514297189973696</v>
      </c>
      <c r="L31" s="10">
        <f>1/(1-POWER(1-$F31*$F$4*$F$9,Donnees!$D$4))</f>
        <v>99.761551725391485</v>
      </c>
      <c r="M31" s="12">
        <f>1/(1-POWER(1-$F31*$F$5*$F$8,Donnees!$D$4))</f>
        <v>22.542263745146919</v>
      </c>
      <c r="N31" s="12">
        <f>1/(1-POWER(1-$F31*$F$5*$F$9,Donnees!$D$4))</f>
        <v>199.04684723903111</v>
      </c>
      <c r="O31" s="6">
        <f>1/(1-POWER(1-$F31*$F$6*$F$8,Donnees!$D$4))</f>
        <v>66.666732505570209</v>
      </c>
      <c r="P31" s="6">
        <f>1/(1-POWER(1-$F31*$F$6*$F$9,Donnees!$D$4))</f>
        <v>596.1894252587216</v>
      </c>
      <c r="Q31" s="16">
        <f>1/(1-POWER(1-$F31*$F$7*$F$8,Donnees!$D$4))</f>
        <v>463.80851274980165</v>
      </c>
      <c r="R31" s="16">
        <f>1/(1-POWER(1-$F31*$F$7*$F$9,Donnees!$D$4))</f>
        <v>4170.4750199394775</v>
      </c>
    </row>
    <row r="32" spans="1:18" x14ac:dyDescent="0.25">
      <c r="A32" t="s">
        <v>47</v>
      </c>
      <c r="B32" t="s">
        <v>199</v>
      </c>
      <c r="C32" t="s">
        <v>59</v>
      </c>
      <c r="D32" t="s">
        <v>52</v>
      </c>
      <c r="E32" s="3">
        <f>VLOOKUP(D32,$A$13:$F$16,5,FALSE)*_xlfn.XLOOKUP(Resultats!C32,Table1[name],Table1[cardRarityMultiplier])</f>
        <v>0.02</v>
      </c>
      <c r="F32" s="3">
        <f t="shared" si="4"/>
        <v>1.9999999999999987E-2</v>
      </c>
      <c r="G32" s="3">
        <f>1-POWER(1-E32,Donnees!$D$4)</f>
        <v>0.33239202824490588</v>
      </c>
      <c r="H32" s="3">
        <f t="shared" si="3"/>
        <v>3.0084957370373568</v>
      </c>
      <c r="I32" s="8">
        <f>1/(1-POWER(1-$F32*$F$3*$F$8,Donnees!$D$4))</f>
        <v>6.0857267969823825</v>
      </c>
      <c r="J32" s="8">
        <f>1/(1-POWER(1-$F32*$F$3*$F$9,Donnees!$D$4))</f>
        <v>50.838970189131004</v>
      </c>
      <c r="K32" s="10">
        <f>1/(1-POWER(1-$F32*$F$4*$F$8,Donnees!$D$4))</f>
        <v>9.6771866564579643</v>
      </c>
      <c r="L32" s="10">
        <f>1/(1-POWER(1-$F32*$F$4*$F$9,Donnees!$D$4))</f>
        <v>83.214100215587194</v>
      </c>
      <c r="M32" s="12">
        <f>1/(1-POWER(1-$F32*$F$5*$F$8,Donnees!$D$4))</f>
        <v>18.865770363543039</v>
      </c>
      <c r="N32" s="12">
        <f>1/(1-POWER(1-$F32*$F$5*$F$9,Donnees!$D$4))</f>
        <v>165.95169288991335</v>
      </c>
      <c r="O32" s="6">
        <f>1/(1-POWER(1-$F32*$F$6*$F$8,Donnees!$D$4))</f>
        <v>55.635237848282955</v>
      </c>
      <c r="P32" s="6">
        <f>1/(1-POWER(1-$F32*$F$6*$F$9,Donnees!$D$4))</f>
        <v>496.90373888289122</v>
      </c>
      <c r="Q32" s="16">
        <f>1/(1-POWER(1-$F32*$F$7*$F$8,Donnees!$D$4))</f>
        <v>386.58632641271407</v>
      </c>
      <c r="R32" s="16">
        <f>1/(1-POWER(1-$F32*$F$7*$F$9,Donnees!$D$4))</f>
        <v>3475.4750239175241</v>
      </c>
    </row>
    <row r="33" spans="1:18" x14ac:dyDescent="0.25">
      <c r="A33" t="s">
        <v>47</v>
      </c>
      <c r="B33" t="s">
        <v>208</v>
      </c>
      <c r="C33" t="s">
        <v>739</v>
      </c>
      <c r="D33" t="s">
        <v>52</v>
      </c>
      <c r="E33" s="3">
        <f>VLOOKUP(D33,$A$13:$F$16,5,FALSE)*_xlfn.XLOOKUP(Resultats!C33,Table1[name],Table1[cardRarityMultiplier])</f>
        <v>0.02</v>
      </c>
      <c r="F33" s="3">
        <f t="shared" si="4"/>
        <v>1.9999999999999987E-2</v>
      </c>
      <c r="G33" s="3">
        <f>1-POWER(1-E33,Donnees!$D$4)</f>
        <v>0.33239202824490588</v>
      </c>
      <c r="H33" s="3">
        <f t="shared" si="3"/>
        <v>3.0084957370373568</v>
      </c>
      <c r="I33" s="8">
        <f>1/(1-POWER(1-$F33*$F$3*$F$8,Donnees!$D$4))</f>
        <v>6.0857267969823825</v>
      </c>
      <c r="J33" s="8">
        <f>1/(1-POWER(1-$F33*$F$3*$F$9,Donnees!$D$4))</f>
        <v>50.838970189131004</v>
      </c>
      <c r="K33" s="10">
        <f>1/(1-POWER(1-$F33*$F$4*$F$8,Donnees!$D$4))</f>
        <v>9.6771866564579643</v>
      </c>
      <c r="L33" s="10">
        <f>1/(1-POWER(1-$F33*$F$4*$F$9,Donnees!$D$4))</f>
        <v>83.214100215587194</v>
      </c>
      <c r="M33" s="12">
        <f>1/(1-POWER(1-$F33*$F$5*$F$8,Donnees!$D$4))</f>
        <v>18.865770363543039</v>
      </c>
      <c r="N33" s="12">
        <f>1/(1-POWER(1-$F33*$F$5*$F$9,Donnees!$D$4))</f>
        <v>165.95169288991335</v>
      </c>
      <c r="O33" s="6">
        <f>1/(1-POWER(1-$F33*$F$6*$F$8,Donnees!$D$4))</f>
        <v>55.635237848282955</v>
      </c>
      <c r="P33" s="6">
        <f>1/(1-POWER(1-$F33*$F$6*$F$9,Donnees!$D$4))</f>
        <v>496.90373888289122</v>
      </c>
      <c r="Q33" s="16">
        <f>1/(1-POWER(1-$F33*$F$7*$F$8,Donnees!$D$4))</f>
        <v>386.58632641271407</v>
      </c>
      <c r="R33" s="16">
        <f>1/(1-POWER(1-$F33*$F$7*$F$9,Donnees!$D$4))</f>
        <v>3475.4750239175241</v>
      </c>
    </row>
    <row r="34" spans="1:18" x14ac:dyDescent="0.25">
      <c r="A34" t="s">
        <v>47</v>
      </c>
      <c r="B34" t="s">
        <v>222</v>
      </c>
      <c r="C34" t="s">
        <v>741</v>
      </c>
      <c r="D34" t="s">
        <v>52</v>
      </c>
      <c r="E34" s="3">
        <f>VLOOKUP(D34,$A$13:$F$16,5,FALSE)*_xlfn.XLOOKUP(Resultats!C34,Table1[name],Table1[cardRarityMultiplier])</f>
        <v>0.02</v>
      </c>
      <c r="F34" s="3">
        <f t="shared" si="4"/>
        <v>1.9999999999999987E-2</v>
      </c>
      <c r="G34" s="3">
        <f>1-POWER(1-E34,Donnees!$D$4)</f>
        <v>0.33239202824490588</v>
      </c>
      <c r="H34" s="3">
        <f t="shared" si="3"/>
        <v>3.0084957370373568</v>
      </c>
      <c r="I34" s="8">
        <f>1/(1-POWER(1-$F34*$F$3*$F$8,Donnees!$D$4))</f>
        <v>6.0857267969823825</v>
      </c>
      <c r="J34" s="8">
        <f>1/(1-POWER(1-$F34*$F$3*$F$9,Donnees!$D$4))</f>
        <v>50.838970189131004</v>
      </c>
      <c r="K34" s="10">
        <f>1/(1-POWER(1-$F34*$F$4*$F$8,Donnees!$D$4))</f>
        <v>9.6771866564579643</v>
      </c>
      <c r="L34" s="10">
        <f>1/(1-POWER(1-$F34*$F$4*$F$9,Donnees!$D$4))</f>
        <v>83.214100215587194</v>
      </c>
      <c r="M34" s="12">
        <f>1/(1-POWER(1-$F34*$F$5*$F$8,Donnees!$D$4))</f>
        <v>18.865770363543039</v>
      </c>
      <c r="N34" s="12">
        <f>1/(1-POWER(1-$F34*$F$5*$F$9,Donnees!$D$4))</f>
        <v>165.95169288991335</v>
      </c>
      <c r="O34" s="6">
        <f>1/(1-POWER(1-$F34*$F$6*$F$8,Donnees!$D$4))</f>
        <v>55.635237848282955</v>
      </c>
      <c r="P34" s="6">
        <f>1/(1-POWER(1-$F34*$F$6*$F$9,Donnees!$D$4))</f>
        <v>496.90373888289122</v>
      </c>
      <c r="Q34" s="16">
        <f>1/(1-POWER(1-$F34*$F$7*$F$8,Donnees!$D$4))</f>
        <v>386.58632641271407</v>
      </c>
      <c r="R34" s="16">
        <f>1/(1-POWER(1-$F34*$F$7*$F$9,Donnees!$D$4))</f>
        <v>3475.4750239175241</v>
      </c>
    </row>
    <row r="35" spans="1:18" x14ac:dyDescent="0.25">
      <c r="A35" t="s">
        <v>47</v>
      </c>
      <c r="B35" t="s">
        <v>231</v>
      </c>
      <c r="C35" t="s">
        <v>742</v>
      </c>
      <c r="D35" t="s">
        <v>70</v>
      </c>
      <c r="E35" s="3">
        <f>VLOOKUP(D35,$A$13:$F$16,5,FALSE)*_xlfn.XLOOKUP(Resultats!C35,Table1[name],Table1[cardRarityMultiplier])</f>
        <v>2.1428571428571429E-2</v>
      </c>
      <c r="F35" s="3">
        <f t="shared" si="4"/>
        <v>2.1428571428571415E-2</v>
      </c>
      <c r="G35" s="3">
        <f>1-POWER(1-E35,Donnees!$D$4)</f>
        <v>0.35158861821263243</v>
      </c>
      <c r="H35" s="3">
        <f t="shared" si="3"/>
        <v>2.8442331412310504</v>
      </c>
      <c r="I35" s="8">
        <f>1/(1-POWER(1-$F35*$F$3*$F$8,Donnees!$D$4))</f>
        <v>5.7137417013118368</v>
      </c>
      <c r="J35" s="8">
        <f>1/(1-POWER(1-$F35*$F$3*$F$9,Donnees!$D$4))</f>
        <v>47.481600280957529</v>
      </c>
      <c r="K35" s="10">
        <f>1/(1-POWER(1-$F35*$F$4*$F$8,Donnees!$D$4))</f>
        <v>9.064960983515661</v>
      </c>
      <c r="L35" s="10">
        <f>1/(1-POWER(1-$F35*$F$4*$F$9,Donnees!$D$4))</f>
        <v>77.698299006688089</v>
      </c>
      <c r="M35" s="12">
        <f>1/(1-POWER(1-$F35*$F$5*$F$8,Donnees!$D$4))</f>
        <v>17.640344596567786</v>
      </c>
      <c r="N35" s="12">
        <f>1/(1-POWER(1-$F35*$F$5*$F$9,Donnees!$D$4))</f>
        <v>154.9199827506408</v>
      </c>
      <c r="O35" s="6">
        <f>1/(1-POWER(1-$F35*$F$6*$F$8,Donnees!$D$4))</f>
        <v>51.95809691416796</v>
      </c>
      <c r="P35" s="6">
        <f>1/(1-POWER(1-$F35*$F$6*$F$9,Donnees!$D$4))</f>
        <v>463.80851274980165</v>
      </c>
      <c r="Q35" s="16">
        <f>1/(1-POWER(1-$F35*$F$7*$F$8,Donnees!$D$4))</f>
        <v>360.84560105190172</v>
      </c>
      <c r="R35" s="16">
        <f>1/(1-POWER(1-$F35*$F$7*$F$9,Donnees!$D$4))</f>
        <v>3243.8083589698131</v>
      </c>
    </row>
    <row r="36" spans="1:18" x14ac:dyDescent="0.25">
      <c r="A36" t="s">
        <v>47</v>
      </c>
      <c r="B36" t="s">
        <v>241</v>
      </c>
      <c r="C36" t="s">
        <v>743</v>
      </c>
      <c r="D36" t="s">
        <v>128</v>
      </c>
      <c r="E36" s="3">
        <f>VLOOKUP(D36,$A$13:$F$16,5,FALSE)*_xlfn.XLOOKUP(Resultats!C36,Table1[name],Table1[cardRarityMultiplier])</f>
        <v>1.6666666666666666E-2</v>
      </c>
      <c r="F36" s="3">
        <f t="shared" si="4"/>
        <v>1.6666666666666656E-2</v>
      </c>
      <c r="G36" s="3">
        <f>1-POWER(1-E36,Donnees!$D$4)</f>
        <v>0.28547862520944578</v>
      </c>
      <c r="H36" s="3">
        <f t="shared" si="3"/>
        <v>3.5028892242504481</v>
      </c>
      <c r="I36" s="8">
        <f>1/(1-POWER(1-$F36*$F$3*$F$8,Donnees!$D$4))</f>
        <v>7.2023965734528721</v>
      </c>
      <c r="J36" s="8">
        <f>1/(1-POWER(1-$F36*$F$3*$F$9,Donnees!$D$4))</f>
        <v>60.911158621330586</v>
      </c>
      <c r="K36" s="10">
        <f>1/(1-POWER(1-$F36*$F$4*$F$8,Donnees!$D$4))</f>
        <v>11.514297189973696</v>
      </c>
      <c r="L36" s="10">
        <f>1/(1-POWER(1-$F36*$F$4*$F$9,Donnees!$D$4))</f>
        <v>99.761551725391485</v>
      </c>
      <c r="M36" s="12">
        <f>1/(1-POWER(1-$F36*$F$5*$F$8,Donnees!$D$4))</f>
        <v>22.542263745146919</v>
      </c>
      <c r="N36" s="12">
        <f>1/(1-POWER(1-$F36*$F$5*$F$9,Donnees!$D$4))</f>
        <v>199.04684723903111</v>
      </c>
      <c r="O36" s="6">
        <f>1/(1-POWER(1-$F36*$F$6*$F$8,Donnees!$D$4))</f>
        <v>66.666732505570209</v>
      </c>
      <c r="P36" s="6">
        <f>1/(1-POWER(1-$F36*$F$6*$F$9,Donnees!$D$4))</f>
        <v>596.1894252587216</v>
      </c>
      <c r="Q36" s="16">
        <f>1/(1-POWER(1-$F36*$F$7*$F$8,Donnees!$D$4))</f>
        <v>463.80851274980165</v>
      </c>
      <c r="R36" s="16">
        <f>1/(1-POWER(1-$F36*$F$7*$F$9,Donnees!$D$4))</f>
        <v>4170.4750199394775</v>
      </c>
    </row>
    <row r="37" spans="1:18" x14ac:dyDescent="0.25">
      <c r="A37" t="s">
        <v>47</v>
      </c>
      <c r="B37" t="s">
        <v>246</v>
      </c>
      <c r="C37" t="s">
        <v>247</v>
      </c>
      <c r="D37" t="s">
        <v>52</v>
      </c>
      <c r="E37" s="3">
        <f>VLOOKUP(D37,$A$13:$F$16,5,FALSE)*_xlfn.XLOOKUP(Resultats!C37,Table1[name],Table1[cardRarityMultiplier])</f>
        <v>0.02</v>
      </c>
      <c r="F37" s="3">
        <f t="shared" si="4"/>
        <v>1.9999999999999987E-2</v>
      </c>
      <c r="G37" s="3">
        <f>1-POWER(1-E37,Donnees!$D$4)</f>
        <v>0.33239202824490588</v>
      </c>
      <c r="H37" s="3">
        <f t="shared" si="3"/>
        <v>3.0084957370373568</v>
      </c>
      <c r="I37" s="8">
        <f>1/(1-POWER(1-$F37*$F$3*$F$8,Donnees!$D$4))</f>
        <v>6.0857267969823825</v>
      </c>
      <c r="J37" s="8">
        <f>1/(1-POWER(1-$F37*$F$3*$F$9,Donnees!$D$4))</f>
        <v>50.838970189131004</v>
      </c>
      <c r="K37" s="10">
        <f>1/(1-POWER(1-$F37*$F$4*$F$8,Donnees!$D$4))</f>
        <v>9.6771866564579643</v>
      </c>
      <c r="L37" s="10">
        <f>1/(1-POWER(1-$F37*$F$4*$F$9,Donnees!$D$4))</f>
        <v>83.214100215587194</v>
      </c>
      <c r="M37" s="12">
        <f>1/(1-POWER(1-$F37*$F$5*$F$8,Donnees!$D$4))</f>
        <v>18.865770363543039</v>
      </c>
      <c r="N37" s="12">
        <f>1/(1-POWER(1-$F37*$F$5*$F$9,Donnees!$D$4))</f>
        <v>165.95169288991335</v>
      </c>
      <c r="O37" s="6">
        <f>1/(1-POWER(1-$F37*$F$6*$F$8,Donnees!$D$4))</f>
        <v>55.635237848282955</v>
      </c>
      <c r="P37" s="6">
        <f>1/(1-POWER(1-$F37*$F$6*$F$9,Donnees!$D$4))</f>
        <v>496.90373888289122</v>
      </c>
      <c r="Q37" s="16">
        <f>1/(1-POWER(1-$F37*$F$7*$F$8,Donnees!$D$4))</f>
        <v>386.58632641271407</v>
      </c>
      <c r="R37" s="16">
        <f>1/(1-POWER(1-$F37*$F$7*$F$9,Donnees!$D$4))</f>
        <v>3475.4750239175241</v>
      </c>
    </row>
    <row r="38" spans="1:18" x14ac:dyDescent="0.25">
      <c r="A38" t="s">
        <v>47</v>
      </c>
      <c r="B38" t="s">
        <v>259</v>
      </c>
      <c r="C38" t="s">
        <v>745</v>
      </c>
      <c r="D38" t="s">
        <v>70</v>
      </c>
      <c r="E38" s="3">
        <f>VLOOKUP(D38,$A$13:$F$16,5,FALSE)*_xlfn.XLOOKUP(Resultats!C38,Table1[name],Table1[cardRarityMultiplier])</f>
        <v>2.1428571428571429E-2</v>
      </c>
      <c r="F38" s="3">
        <f t="shared" si="4"/>
        <v>2.1428571428571415E-2</v>
      </c>
      <c r="G38" s="3">
        <f>1-POWER(1-E38,Donnees!$D$4)</f>
        <v>0.35158861821263243</v>
      </c>
      <c r="H38" s="3">
        <f t="shared" si="3"/>
        <v>2.8442331412310504</v>
      </c>
      <c r="I38" s="8">
        <f>1/(1-POWER(1-$F38*$F$3*$F$8,Donnees!$D$4))</f>
        <v>5.7137417013118368</v>
      </c>
      <c r="J38" s="8">
        <f>1/(1-POWER(1-$F38*$F$3*$F$9,Donnees!$D$4))</f>
        <v>47.481600280957529</v>
      </c>
      <c r="K38" s="10">
        <f>1/(1-POWER(1-$F38*$F$4*$F$8,Donnees!$D$4))</f>
        <v>9.064960983515661</v>
      </c>
      <c r="L38" s="10">
        <f>1/(1-POWER(1-$F38*$F$4*$F$9,Donnees!$D$4))</f>
        <v>77.698299006688089</v>
      </c>
      <c r="M38" s="12">
        <f>1/(1-POWER(1-$F38*$F$5*$F$8,Donnees!$D$4))</f>
        <v>17.640344596567786</v>
      </c>
      <c r="N38" s="12">
        <f>1/(1-POWER(1-$F38*$F$5*$F$9,Donnees!$D$4))</f>
        <v>154.9199827506408</v>
      </c>
      <c r="O38" s="6">
        <f>1/(1-POWER(1-$F38*$F$6*$F$8,Donnees!$D$4))</f>
        <v>51.95809691416796</v>
      </c>
      <c r="P38" s="6">
        <f>1/(1-POWER(1-$F38*$F$6*$F$9,Donnees!$D$4))</f>
        <v>463.80851274980165</v>
      </c>
      <c r="Q38" s="16">
        <f>1/(1-POWER(1-$F38*$F$7*$F$8,Donnees!$D$4))</f>
        <v>360.84560105190172</v>
      </c>
      <c r="R38" s="16">
        <f>1/(1-POWER(1-$F38*$F$7*$F$9,Donnees!$D$4))</f>
        <v>3243.8083589698131</v>
      </c>
    </row>
    <row r="39" spans="1:18" x14ac:dyDescent="0.25">
      <c r="A39" t="s">
        <v>47</v>
      </c>
      <c r="B39" t="s">
        <v>266</v>
      </c>
      <c r="C39" t="s">
        <v>267</v>
      </c>
      <c r="D39" t="s">
        <v>52</v>
      </c>
      <c r="E39" s="3">
        <f>VLOOKUP(D39,$A$13:$F$16,5,FALSE)*_xlfn.XLOOKUP(Resultats!C39,Table1[name],Table1[cardRarityMultiplier])</f>
        <v>0.02</v>
      </c>
      <c r="F39" s="3">
        <f t="shared" si="4"/>
        <v>1.9999999999999987E-2</v>
      </c>
      <c r="G39" s="3">
        <f>1-POWER(1-E39,Donnees!$D$4)</f>
        <v>0.33239202824490588</v>
      </c>
      <c r="H39" s="3">
        <f t="shared" si="3"/>
        <v>3.0084957370373568</v>
      </c>
      <c r="I39" s="8">
        <f>1/(1-POWER(1-$F39*$F$3*$F$8,Donnees!$D$4))</f>
        <v>6.0857267969823825</v>
      </c>
      <c r="J39" s="8">
        <f>1/(1-POWER(1-$F39*$F$3*$F$9,Donnees!$D$4))</f>
        <v>50.838970189131004</v>
      </c>
      <c r="K39" s="10">
        <f>1/(1-POWER(1-$F39*$F$4*$F$8,Donnees!$D$4))</f>
        <v>9.6771866564579643</v>
      </c>
      <c r="L39" s="10">
        <f>1/(1-POWER(1-$F39*$F$4*$F$9,Donnees!$D$4))</f>
        <v>83.214100215587194</v>
      </c>
      <c r="M39" s="12">
        <f>1/(1-POWER(1-$F39*$F$5*$F$8,Donnees!$D$4))</f>
        <v>18.865770363543039</v>
      </c>
      <c r="N39" s="12">
        <f>1/(1-POWER(1-$F39*$F$5*$F$9,Donnees!$D$4))</f>
        <v>165.95169288991335</v>
      </c>
      <c r="O39" s="6">
        <f>1/(1-POWER(1-$F39*$F$6*$F$8,Donnees!$D$4))</f>
        <v>55.635237848282955</v>
      </c>
      <c r="P39" s="6">
        <f>1/(1-POWER(1-$F39*$F$6*$F$9,Donnees!$D$4))</f>
        <v>496.90373888289122</v>
      </c>
      <c r="Q39" s="16">
        <f>1/(1-POWER(1-$F39*$F$7*$F$8,Donnees!$D$4))</f>
        <v>386.58632641271407</v>
      </c>
      <c r="R39" s="16">
        <f>1/(1-POWER(1-$F39*$F$7*$F$9,Donnees!$D$4))</f>
        <v>3475.4750239175241</v>
      </c>
    </row>
    <row r="40" spans="1:18" x14ac:dyDescent="0.25">
      <c r="A40" t="s">
        <v>47</v>
      </c>
      <c r="B40" t="s">
        <v>275</v>
      </c>
      <c r="C40" t="s">
        <v>276</v>
      </c>
      <c r="D40" t="s">
        <v>70</v>
      </c>
      <c r="E40" s="3">
        <f>VLOOKUP(D40,$A$13:$F$16,5,FALSE)*_xlfn.XLOOKUP(Resultats!C40,Table1[name],Table1[cardRarityMultiplier])</f>
        <v>2.1428571428571429E-2</v>
      </c>
      <c r="F40" s="3">
        <f t="shared" si="4"/>
        <v>2.1428571428571415E-2</v>
      </c>
      <c r="G40" s="3">
        <f>1-POWER(1-E40,Donnees!$D$4)</f>
        <v>0.35158861821263243</v>
      </c>
      <c r="H40" s="3">
        <f t="shared" si="3"/>
        <v>2.8442331412310504</v>
      </c>
      <c r="I40" s="8">
        <f>1/(1-POWER(1-$F40*$F$3*$F$8,Donnees!$D$4))</f>
        <v>5.7137417013118368</v>
      </c>
      <c r="J40" s="8">
        <f>1/(1-POWER(1-$F40*$F$3*$F$9,Donnees!$D$4))</f>
        <v>47.481600280957529</v>
      </c>
      <c r="K40" s="10">
        <f>1/(1-POWER(1-$F40*$F$4*$F$8,Donnees!$D$4))</f>
        <v>9.064960983515661</v>
      </c>
      <c r="L40" s="10">
        <f>1/(1-POWER(1-$F40*$F$4*$F$9,Donnees!$D$4))</f>
        <v>77.698299006688089</v>
      </c>
      <c r="M40" s="12">
        <f>1/(1-POWER(1-$F40*$F$5*$F$8,Donnees!$D$4))</f>
        <v>17.640344596567786</v>
      </c>
      <c r="N40" s="12">
        <f>1/(1-POWER(1-$F40*$F$5*$F$9,Donnees!$D$4))</f>
        <v>154.9199827506408</v>
      </c>
      <c r="O40" s="6">
        <f>1/(1-POWER(1-$F40*$F$6*$F$8,Donnees!$D$4))</f>
        <v>51.95809691416796</v>
      </c>
      <c r="P40" s="6">
        <f>1/(1-POWER(1-$F40*$F$6*$F$9,Donnees!$D$4))</f>
        <v>463.80851274980165</v>
      </c>
      <c r="Q40" s="16">
        <f>1/(1-POWER(1-$F40*$F$7*$F$8,Donnees!$D$4))</f>
        <v>360.84560105190172</v>
      </c>
      <c r="R40" s="16">
        <f>1/(1-POWER(1-$F40*$F$7*$F$9,Donnees!$D$4))</f>
        <v>3243.8083589698131</v>
      </c>
    </row>
    <row r="41" spans="1:18" x14ac:dyDescent="0.25">
      <c r="A41" t="s">
        <v>47</v>
      </c>
      <c r="B41" t="s">
        <v>290</v>
      </c>
      <c r="C41" t="s">
        <v>291</v>
      </c>
      <c r="D41" t="s">
        <v>70</v>
      </c>
      <c r="E41" s="3">
        <f>VLOOKUP(D41,$A$13:$F$16,5,FALSE)*_xlfn.XLOOKUP(Resultats!C41,Table1[name],Table1[cardRarityMultiplier])</f>
        <v>2.1428571428571429E-2</v>
      </c>
      <c r="F41" s="3">
        <f t="shared" si="4"/>
        <v>2.1428571428571415E-2</v>
      </c>
      <c r="G41" s="3">
        <f>1-POWER(1-E41,Donnees!$D$4)</f>
        <v>0.35158861821263243</v>
      </c>
      <c r="H41" s="3">
        <f t="shared" si="3"/>
        <v>2.8442331412310504</v>
      </c>
      <c r="I41" s="8">
        <f>1/(1-POWER(1-$F41*$F$3*$F$8,Donnees!$D$4))</f>
        <v>5.7137417013118368</v>
      </c>
      <c r="J41" s="8">
        <f>1/(1-POWER(1-$F41*$F$3*$F$9,Donnees!$D$4))</f>
        <v>47.481600280957529</v>
      </c>
      <c r="K41" s="10">
        <f>1/(1-POWER(1-$F41*$F$4*$F$8,Donnees!$D$4))</f>
        <v>9.064960983515661</v>
      </c>
      <c r="L41" s="10">
        <f>1/(1-POWER(1-$F41*$F$4*$F$9,Donnees!$D$4))</f>
        <v>77.698299006688089</v>
      </c>
      <c r="M41" s="12">
        <f>1/(1-POWER(1-$F41*$F$5*$F$8,Donnees!$D$4))</f>
        <v>17.640344596567786</v>
      </c>
      <c r="N41" s="12">
        <f>1/(1-POWER(1-$F41*$F$5*$F$9,Donnees!$D$4))</f>
        <v>154.9199827506408</v>
      </c>
      <c r="O41" s="6">
        <f>1/(1-POWER(1-$F41*$F$6*$F$8,Donnees!$D$4))</f>
        <v>51.95809691416796</v>
      </c>
      <c r="P41" s="6">
        <f>1/(1-POWER(1-$F41*$F$6*$F$9,Donnees!$D$4))</f>
        <v>463.80851274980165</v>
      </c>
      <c r="Q41" s="16">
        <f>1/(1-POWER(1-$F41*$F$7*$F$8,Donnees!$D$4))</f>
        <v>360.84560105190172</v>
      </c>
      <c r="R41" s="16">
        <f>1/(1-POWER(1-$F41*$F$7*$F$9,Donnees!$D$4))</f>
        <v>3243.8083589698131</v>
      </c>
    </row>
    <row r="42" spans="1:18" x14ac:dyDescent="0.25">
      <c r="A42" t="s">
        <v>47</v>
      </c>
      <c r="B42" t="s">
        <v>304</v>
      </c>
      <c r="C42" t="s">
        <v>748</v>
      </c>
      <c r="D42" t="s">
        <v>305</v>
      </c>
      <c r="E42" s="3">
        <f>VLOOKUP(D42,$A$13:$F$16,5,FALSE)*_xlfn.XLOOKUP(Resultats!C42,Table1[name],Table1[cardRarityMultiplier])</f>
        <v>1.8749999999999999E-2</v>
      </c>
      <c r="F42" s="3">
        <f t="shared" si="4"/>
        <v>1.8749999999999985E-2</v>
      </c>
      <c r="G42" s="3">
        <f>1-POWER(1-E42,Donnees!$D$4)</f>
        <v>0.31515325639173553</v>
      </c>
      <c r="H42" s="3">
        <f t="shared" si="3"/>
        <v>3.1730593916408716</v>
      </c>
      <c r="I42" s="8">
        <f>1/(1-POWER(1-$F42*$F$3*$F$8,Donnees!$D$4))</f>
        <v>6.4578458934330172</v>
      </c>
      <c r="J42" s="8">
        <f>1/(1-POWER(1-$F42*$F$3*$F$9,Donnees!$D$4))</f>
        <v>54.196354855722817</v>
      </c>
      <c r="K42" s="10">
        <f>1/(1-POWER(1-$F42*$F$4*$F$8,Donnees!$D$4))</f>
        <v>10.289493630089176</v>
      </c>
      <c r="L42" s="10">
        <f>1/(1-POWER(1-$F42*$F$4*$F$9,Donnees!$D$4))</f>
        <v>88.729910402846656</v>
      </c>
      <c r="M42" s="12">
        <f>1/(1-POWER(1-$F42*$F$5*$F$8,Donnees!$D$4))</f>
        <v>20.091236650595796</v>
      </c>
      <c r="N42" s="12">
        <f>1/(1-POWER(1-$F42*$F$5*$F$9,Donnees!$D$4))</f>
        <v>176.98340751640595</v>
      </c>
      <c r="O42" s="6">
        <f>1/(1-POWER(1-$F42*$F$6*$F$8,Donnees!$D$4))</f>
        <v>59.312392255803132</v>
      </c>
      <c r="P42" s="6">
        <f>1/(1-POWER(1-$F42*$F$6*$F$9,Donnees!$D$4))</f>
        <v>529.99896651203778</v>
      </c>
      <c r="Q42" s="16">
        <f>1/(1-POWER(1-$F42*$F$7*$F$8,Donnees!$D$4))</f>
        <v>412.3270536965432</v>
      </c>
      <c r="R42" s="16">
        <f>1/(1-POWER(1-$F42*$F$7*$F$9,Donnees!$D$4))</f>
        <v>3707.1416890942214</v>
      </c>
    </row>
    <row r="43" spans="1:18" x14ac:dyDescent="0.25">
      <c r="A43" t="s">
        <v>47</v>
      </c>
      <c r="B43" t="s">
        <v>318</v>
      </c>
      <c r="C43" t="s">
        <v>750</v>
      </c>
      <c r="D43" t="s">
        <v>305</v>
      </c>
      <c r="E43" s="3">
        <f>VLOOKUP(D43,$A$13:$F$16,5,FALSE)*_xlfn.XLOOKUP(Resultats!C43,Table1[name],Table1[cardRarityMultiplier])</f>
        <v>1.8749999999999999E-2</v>
      </c>
      <c r="F43" s="3">
        <f t="shared" si="4"/>
        <v>1.8749999999999985E-2</v>
      </c>
      <c r="G43" s="3">
        <f>1-POWER(1-E43,Donnees!$D$4)</f>
        <v>0.31515325639173553</v>
      </c>
      <c r="H43" s="3">
        <f t="shared" si="3"/>
        <v>3.1730593916408716</v>
      </c>
      <c r="I43" s="8">
        <f>1/(1-POWER(1-$F43*$F$3*$F$8,Donnees!$D$4))</f>
        <v>6.4578458934330172</v>
      </c>
      <c r="J43" s="8">
        <f>1/(1-POWER(1-$F43*$F$3*$F$9,Donnees!$D$4))</f>
        <v>54.196354855722817</v>
      </c>
      <c r="K43" s="10">
        <f>1/(1-POWER(1-$F43*$F$4*$F$8,Donnees!$D$4))</f>
        <v>10.289493630089176</v>
      </c>
      <c r="L43" s="10">
        <f>1/(1-POWER(1-$F43*$F$4*$F$9,Donnees!$D$4))</f>
        <v>88.729910402846656</v>
      </c>
      <c r="M43" s="12">
        <f>1/(1-POWER(1-$F43*$F$5*$F$8,Donnees!$D$4))</f>
        <v>20.091236650595796</v>
      </c>
      <c r="N43" s="12">
        <f>1/(1-POWER(1-$F43*$F$5*$F$9,Donnees!$D$4))</f>
        <v>176.98340751640595</v>
      </c>
      <c r="O43" s="6">
        <f>1/(1-POWER(1-$F43*$F$6*$F$8,Donnees!$D$4))</f>
        <v>59.312392255803132</v>
      </c>
      <c r="P43" s="6">
        <f>1/(1-POWER(1-$F43*$F$6*$F$9,Donnees!$D$4))</f>
        <v>529.99896651203778</v>
      </c>
      <c r="Q43" s="16">
        <f>1/(1-POWER(1-$F43*$F$7*$F$8,Donnees!$D$4))</f>
        <v>412.3270536965432</v>
      </c>
      <c r="R43" s="16">
        <f>1/(1-POWER(1-$F43*$F$7*$F$9,Donnees!$D$4))</f>
        <v>3707.1416890942214</v>
      </c>
    </row>
    <row r="44" spans="1:18" x14ac:dyDescent="0.25">
      <c r="A44" t="s">
        <v>47</v>
      </c>
      <c r="B44" t="s">
        <v>331</v>
      </c>
      <c r="C44" t="s">
        <v>332</v>
      </c>
      <c r="D44" t="s">
        <v>70</v>
      </c>
      <c r="E44" s="3">
        <f>VLOOKUP(D44,$A$13:$F$16,5,FALSE)*_xlfn.XLOOKUP(Resultats!C44,Table1[name],Table1[cardRarityMultiplier])</f>
        <v>2.1428571428571429E-2</v>
      </c>
      <c r="F44" s="3">
        <f t="shared" si="4"/>
        <v>2.1428571428571415E-2</v>
      </c>
      <c r="G44" s="3">
        <f>1-POWER(1-E44,Donnees!$D$4)</f>
        <v>0.35158861821263243</v>
      </c>
      <c r="H44" s="3">
        <f t="shared" si="3"/>
        <v>2.8442331412310504</v>
      </c>
      <c r="I44" s="8">
        <f>1/(1-POWER(1-$F44*$F$3*$F$8,Donnees!$D$4))</f>
        <v>5.7137417013118368</v>
      </c>
      <c r="J44" s="8">
        <f>1/(1-POWER(1-$F44*$F$3*$F$9,Donnees!$D$4))</f>
        <v>47.481600280957529</v>
      </c>
      <c r="K44" s="10">
        <f>1/(1-POWER(1-$F44*$F$4*$F$8,Donnees!$D$4))</f>
        <v>9.064960983515661</v>
      </c>
      <c r="L44" s="10">
        <f>1/(1-POWER(1-$F44*$F$4*$F$9,Donnees!$D$4))</f>
        <v>77.698299006688089</v>
      </c>
      <c r="M44" s="12">
        <f>1/(1-POWER(1-$F44*$F$5*$F$8,Donnees!$D$4))</f>
        <v>17.640344596567786</v>
      </c>
      <c r="N44" s="12">
        <f>1/(1-POWER(1-$F44*$F$5*$F$9,Donnees!$D$4))</f>
        <v>154.9199827506408</v>
      </c>
      <c r="O44" s="6">
        <f>1/(1-POWER(1-$F44*$F$6*$F$8,Donnees!$D$4))</f>
        <v>51.95809691416796</v>
      </c>
      <c r="P44" s="6">
        <f>1/(1-POWER(1-$F44*$F$6*$F$9,Donnees!$D$4))</f>
        <v>463.80851274980165</v>
      </c>
      <c r="Q44" s="16">
        <f>1/(1-POWER(1-$F44*$F$7*$F$8,Donnees!$D$4))</f>
        <v>360.84560105190172</v>
      </c>
      <c r="R44" s="16">
        <f>1/(1-POWER(1-$F44*$F$7*$F$9,Donnees!$D$4))</f>
        <v>3243.8083589698131</v>
      </c>
    </row>
    <row r="45" spans="1:18" x14ac:dyDescent="0.25">
      <c r="A45" t="s">
        <v>47</v>
      </c>
      <c r="B45" t="s">
        <v>341</v>
      </c>
      <c r="C45" t="s">
        <v>342</v>
      </c>
      <c r="D45" t="s">
        <v>52</v>
      </c>
      <c r="E45" s="3">
        <f>VLOOKUP(D45,$A$13:$F$16,5,FALSE)*_xlfn.XLOOKUP(Resultats!C45,Table1[name],Table1[cardRarityMultiplier])</f>
        <v>0.02</v>
      </c>
      <c r="F45" s="3">
        <f t="shared" si="4"/>
        <v>1.9999999999999987E-2</v>
      </c>
      <c r="G45" s="3">
        <f>1-POWER(1-E45,Donnees!$D$4)</f>
        <v>0.33239202824490588</v>
      </c>
      <c r="H45" s="3">
        <f t="shared" si="3"/>
        <v>3.0084957370373568</v>
      </c>
      <c r="I45" s="8">
        <f>1/(1-POWER(1-$F45*$F$3*$F$8,Donnees!$D$4))</f>
        <v>6.0857267969823825</v>
      </c>
      <c r="J45" s="8">
        <f>1/(1-POWER(1-$F45*$F$3*$F$9,Donnees!$D$4))</f>
        <v>50.838970189131004</v>
      </c>
      <c r="K45" s="10">
        <f>1/(1-POWER(1-$F45*$F$4*$F$8,Donnees!$D$4))</f>
        <v>9.6771866564579643</v>
      </c>
      <c r="L45" s="10">
        <f>1/(1-POWER(1-$F45*$F$4*$F$9,Donnees!$D$4))</f>
        <v>83.214100215587194</v>
      </c>
      <c r="M45" s="12">
        <f>1/(1-POWER(1-$F45*$F$5*$F$8,Donnees!$D$4))</f>
        <v>18.865770363543039</v>
      </c>
      <c r="N45" s="12">
        <f>1/(1-POWER(1-$F45*$F$5*$F$9,Donnees!$D$4))</f>
        <v>165.95169288991335</v>
      </c>
      <c r="O45" s="6">
        <f>1/(1-POWER(1-$F45*$F$6*$F$8,Donnees!$D$4))</f>
        <v>55.635237848282955</v>
      </c>
      <c r="P45" s="6">
        <f>1/(1-POWER(1-$F45*$F$6*$F$9,Donnees!$D$4))</f>
        <v>496.90373888289122</v>
      </c>
      <c r="Q45" s="16">
        <f>1/(1-POWER(1-$F45*$F$7*$F$8,Donnees!$D$4))</f>
        <v>386.58632641271407</v>
      </c>
      <c r="R45" s="16">
        <f>1/(1-POWER(1-$F45*$F$7*$F$9,Donnees!$D$4))</f>
        <v>3475.4750239175241</v>
      </c>
    </row>
    <row r="46" spans="1:18" x14ac:dyDescent="0.25">
      <c r="A46" t="s">
        <v>47</v>
      </c>
      <c r="B46" t="s">
        <v>353</v>
      </c>
      <c r="C46" t="s">
        <v>755</v>
      </c>
      <c r="D46" t="s">
        <v>70</v>
      </c>
      <c r="E46" s="3">
        <f>VLOOKUP(D46,$A$13:$F$16,5,FALSE)*_xlfn.XLOOKUP(Resultats!C46,Table1[name],Table1[cardRarityMultiplier])</f>
        <v>2.1428571428571429E-2</v>
      </c>
      <c r="F46" s="3">
        <f t="shared" si="4"/>
        <v>2.1428571428571415E-2</v>
      </c>
      <c r="G46" s="3">
        <f>1-POWER(1-E46,Donnees!$D$4)</f>
        <v>0.35158861821263243</v>
      </c>
      <c r="H46" s="3">
        <f t="shared" si="3"/>
        <v>2.8442331412310504</v>
      </c>
      <c r="I46" s="8">
        <f>1/(1-POWER(1-$F46*$F$3*$F$8,Donnees!$D$4))</f>
        <v>5.7137417013118368</v>
      </c>
      <c r="J46" s="8">
        <f>1/(1-POWER(1-$F46*$F$3*$F$9,Donnees!$D$4))</f>
        <v>47.481600280957529</v>
      </c>
      <c r="K46" s="10">
        <f>1/(1-POWER(1-$F46*$F$4*$F$8,Donnees!$D$4))</f>
        <v>9.064960983515661</v>
      </c>
      <c r="L46" s="10">
        <f>1/(1-POWER(1-$F46*$F$4*$F$9,Donnees!$D$4))</f>
        <v>77.698299006688089</v>
      </c>
      <c r="M46" s="12">
        <f>1/(1-POWER(1-$F46*$F$5*$F$8,Donnees!$D$4))</f>
        <v>17.640344596567786</v>
      </c>
      <c r="N46" s="12">
        <f>1/(1-POWER(1-$F46*$F$5*$F$9,Donnees!$D$4))</f>
        <v>154.9199827506408</v>
      </c>
      <c r="O46" s="6">
        <f>1/(1-POWER(1-$F46*$F$6*$F$8,Donnees!$D$4))</f>
        <v>51.95809691416796</v>
      </c>
      <c r="P46" s="6">
        <f>1/(1-POWER(1-$F46*$F$6*$F$9,Donnees!$D$4))</f>
        <v>463.80851274980165</v>
      </c>
      <c r="Q46" s="16">
        <f>1/(1-POWER(1-$F46*$F$7*$F$8,Donnees!$D$4))</f>
        <v>360.84560105190172</v>
      </c>
      <c r="R46" s="16">
        <f>1/(1-POWER(1-$F46*$F$7*$F$9,Donnees!$D$4))</f>
        <v>3243.8083589698131</v>
      </c>
    </row>
    <row r="47" spans="1:18" x14ac:dyDescent="0.25">
      <c r="A47" t="s">
        <v>47</v>
      </c>
      <c r="B47" t="s">
        <v>366</v>
      </c>
      <c r="C47" t="s">
        <v>756</v>
      </c>
      <c r="D47" t="s">
        <v>52</v>
      </c>
      <c r="E47" s="3">
        <f>VLOOKUP(D47,$A$13:$F$16,5,FALSE)*_xlfn.XLOOKUP(Resultats!C47,Table1[name],Table1[cardRarityMultiplier])</f>
        <v>0.02</v>
      </c>
      <c r="F47" s="3">
        <f t="shared" si="4"/>
        <v>1.9999999999999987E-2</v>
      </c>
      <c r="G47" s="3">
        <f>1-POWER(1-E47,Donnees!$D$4)</f>
        <v>0.33239202824490588</v>
      </c>
      <c r="H47" s="3">
        <f t="shared" si="3"/>
        <v>3.0084957370373568</v>
      </c>
      <c r="I47" s="8">
        <f>1/(1-POWER(1-$F47*$F$3*$F$8,Donnees!$D$4))</f>
        <v>6.0857267969823825</v>
      </c>
      <c r="J47" s="8">
        <f>1/(1-POWER(1-$F47*$F$3*$F$9,Donnees!$D$4))</f>
        <v>50.838970189131004</v>
      </c>
      <c r="K47" s="10">
        <f>1/(1-POWER(1-$F47*$F$4*$F$8,Donnees!$D$4))</f>
        <v>9.6771866564579643</v>
      </c>
      <c r="L47" s="10">
        <f>1/(1-POWER(1-$F47*$F$4*$F$9,Donnees!$D$4))</f>
        <v>83.214100215587194</v>
      </c>
      <c r="M47" s="12">
        <f>1/(1-POWER(1-$F47*$F$5*$F$8,Donnees!$D$4))</f>
        <v>18.865770363543039</v>
      </c>
      <c r="N47" s="12">
        <f>1/(1-POWER(1-$F47*$F$5*$F$9,Donnees!$D$4))</f>
        <v>165.95169288991335</v>
      </c>
      <c r="O47" s="6">
        <f>1/(1-POWER(1-$F47*$F$6*$F$8,Donnees!$D$4))</f>
        <v>55.635237848282955</v>
      </c>
      <c r="P47" s="6">
        <f>1/(1-POWER(1-$F47*$F$6*$F$9,Donnees!$D$4))</f>
        <v>496.90373888289122</v>
      </c>
      <c r="Q47" s="16">
        <f>1/(1-POWER(1-$F47*$F$7*$F$8,Donnees!$D$4))</f>
        <v>386.58632641271407</v>
      </c>
      <c r="R47" s="16">
        <f>1/(1-POWER(1-$F47*$F$7*$F$9,Donnees!$D$4))</f>
        <v>3475.4750239175241</v>
      </c>
    </row>
    <row r="48" spans="1:18" x14ac:dyDescent="0.25">
      <c r="A48" t="s">
        <v>47</v>
      </c>
      <c r="B48" t="s">
        <v>377</v>
      </c>
      <c r="C48" t="s">
        <v>378</v>
      </c>
      <c r="D48" t="s">
        <v>305</v>
      </c>
      <c r="E48" s="3">
        <f>VLOOKUP(D48,$A$13:$F$16,5,FALSE)*_xlfn.XLOOKUP(Resultats!C48,Table1[name],Table1[cardRarityMultiplier])</f>
        <v>1.8749999999999999E-2</v>
      </c>
      <c r="F48" s="3">
        <f t="shared" si="4"/>
        <v>1.8749999999999985E-2</v>
      </c>
      <c r="G48" s="3">
        <f>1-POWER(1-E48,Donnees!$D$4)</f>
        <v>0.31515325639173553</v>
      </c>
      <c r="H48" s="3">
        <f t="shared" si="3"/>
        <v>3.1730593916408716</v>
      </c>
      <c r="I48" s="8">
        <f>1/(1-POWER(1-$F48*$F$3*$F$8,Donnees!$D$4))</f>
        <v>6.4578458934330172</v>
      </c>
      <c r="J48" s="8">
        <f>1/(1-POWER(1-$F48*$F$3*$F$9,Donnees!$D$4))</f>
        <v>54.196354855722817</v>
      </c>
      <c r="K48" s="10">
        <f>1/(1-POWER(1-$F48*$F$4*$F$8,Donnees!$D$4))</f>
        <v>10.289493630089176</v>
      </c>
      <c r="L48" s="10">
        <f>1/(1-POWER(1-$F48*$F$4*$F$9,Donnees!$D$4))</f>
        <v>88.729910402846656</v>
      </c>
      <c r="M48" s="12">
        <f>1/(1-POWER(1-$F48*$F$5*$F$8,Donnees!$D$4))</f>
        <v>20.091236650595796</v>
      </c>
      <c r="N48" s="12">
        <f>1/(1-POWER(1-$F48*$F$5*$F$9,Donnees!$D$4))</f>
        <v>176.98340751640595</v>
      </c>
      <c r="O48" s="6">
        <f>1/(1-POWER(1-$F48*$F$6*$F$8,Donnees!$D$4))</f>
        <v>59.312392255803132</v>
      </c>
      <c r="P48" s="6">
        <f>1/(1-POWER(1-$F48*$F$6*$F$9,Donnees!$D$4))</f>
        <v>529.99896651203778</v>
      </c>
      <c r="Q48" s="16">
        <f>1/(1-POWER(1-$F48*$F$7*$F$8,Donnees!$D$4))</f>
        <v>412.3270536965432</v>
      </c>
      <c r="R48" s="16">
        <f>1/(1-POWER(1-$F48*$F$7*$F$9,Donnees!$D$4))</f>
        <v>3707.1416890942214</v>
      </c>
    </row>
    <row r="49" spans="1:18" x14ac:dyDescent="0.25">
      <c r="A49" t="s">
        <v>47</v>
      </c>
      <c r="B49" t="s">
        <v>391</v>
      </c>
      <c r="C49" t="s">
        <v>392</v>
      </c>
      <c r="D49" t="s">
        <v>70</v>
      </c>
      <c r="E49" s="3">
        <f>VLOOKUP(D49,$A$13:$F$16,5,FALSE)*_xlfn.XLOOKUP(Resultats!C49,Table1[name],Table1[cardRarityMultiplier])</f>
        <v>2.1428571428571429E-2</v>
      </c>
      <c r="F49" s="3">
        <f t="shared" si="4"/>
        <v>2.1428571428571415E-2</v>
      </c>
      <c r="G49" s="3">
        <f>1-POWER(1-E49,Donnees!$D$4)</f>
        <v>0.35158861821263243</v>
      </c>
      <c r="H49" s="3">
        <f t="shared" si="3"/>
        <v>2.8442331412310504</v>
      </c>
      <c r="I49" s="8">
        <f>1/(1-POWER(1-$F49*$F$3*$F$8,Donnees!$D$4))</f>
        <v>5.7137417013118368</v>
      </c>
      <c r="J49" s="8">
        <f>1/(1-POWER(1-$F49*$F$3*$F$9,Donnees!$D$4))</f>
        <v>47.481600280957529</v>
      </c>
      <c r="K49" s="10">
        <f>1/(1-POWER(1-$F49*$F$4*$F$8,Donnees!$D$4))</f>
        <v>9.064960983515661</v>
      </c>
      <c r="L49" s="10">
        <f>1/(1-POWER(1-$F49*$F$4*$F$9,Donnees!$D$4))</f>
        <v>77.698299006688089</v>
      </c>
      <c r="M49" s="12">
        <f>1/(1-POWER(1-$F49*$F$5*$F$8,Donnees!$D$4))</f>
        <v>17.640344596567786</v>
      </c>
      <c r="N49" s="12">
        <f>1/(1-POWER(1-$F49*$F$5*$F$9,Donnees!$D$4))</f>
        <v>154.9199827506408</v>
      </c>
      <c r="O49" s="6">
        <f>1/(1-POWER(1-$F49*$F$6*$F$8,Donnees!$D$4))</f>
        <v>51.95809691416796</v>
      </c>
      <c r="P49" s="6">
        <f>1/(1-POWER(1-$F49*$F$6*$F$9,Donnees!$D$4))</f>
        <v>463.80851274980165</v>
      </c>
      <c r="Q49" s="16">
        <f>1/(1-POWER(1-$F49*$F$7*$F$8,Donnees!$D$4))</f>
        <v>360.84560105190172</v>
      </c>
      <c r="R49" s="16">
        <f>1/(1-POWER(1-$F49*$F$7*$F$9,Donnees!$D$4))</f>
        <v>3243.8083589698131</v>
      </c>
    </row>
    <row r="50" spans="1:18" x14ac:dyDescent="0.25">
      <c r="A50" t="s">
        <v>47</v>
      </c>
      <c r="B50" t="s">
        <v>400</v>
      </c>
      <c r="C50" t="s">
        <v>401</v>
      </c>
      <c r="D50" t="s">
        <v>70</v>
      </c>
      <c r="E50" s="3">
        <f>VLOOKUP(D50,$A$13:$F$16,5,FALSE)*_xlfn.XLOOKUP(Resultats!C50,Table1[name],Table1[cardRarityMultiplier])</f>
        <v>2.1428571428571429E-2</v>
      </c>
      <c r="F50" s="3">
        <f t="shared" si="4"/>
        <v>2.1428571428571415E-2</v>
      </c>
      <c r="G50" s="3">
        <f>1-POWER(1-E50,Donnees!$D$4)</f>
        <v>0.35158861821263243</v>
      </c>
      <c r="H50" s="3">
        <f t="shared" si="3"/>
        <v>2.8442331412310504</v>
      </c>
      <c r="I50" s="8">
        <f>1/(1-POWER(1-$F50*$F$3*$F$8,Donnees!$D$4))</f>
        <v>5.7137417013118368</v>
      </c>
      <c r="J50" s="8">
        <f>1/(1-POWER(1-$F50*$F$3*$F$9,Donnees!$D$4))</f>
        <v>47.481600280957529</v>
      </c>
      <c r="K50" s="10">
        <f>1/(1-POWER(1-$F50*$F$4*$F$8,Donnees!$D$4))</f>
        <v>9.064960983515661</v>
      </c>
      <c r="L50" s="10">
        <f>1/(1-POWER(1-$F50*$F$4*$F$9,Donnees!$D$4))</f>
        <v>77.698299006688089</v>
      </c>
      <c r="M50" s="12">
        <f>1/(1-POWER(1-$F50*$F$5*$F$8,Donnees!$D$4))</f>
        <v>17.640344596567786</v>
      </c>
      <c r="N50" s="12">
        <f>1/(1-POWER(1-$F50*$F$5*$F$9,Donnees!$D$4))</f>
        <v>154.9199827506408</v>
      </c>
      <c r="O50" s="6">
        <f>1/(1-POWER(1-$F50*$F$6*$F$8,Donnees!$D$4))</f>
        <v>51.95809691416796</v>
      </c>
      <c r="P50" s="6">
        <f>1/(1-POWER(1-$F50*$F$6*$F$9,Donnees!$D$4))</f>
        <v>463.80851274980165</v>
      </c>
      <c r="Q50" s="16">
        <f>1/(1-POWER(1-$F50*$F$7*$F$8,Donnees!$D$4))</f>
        <v>360.84560105190172</v>
      </c>
      <c r="R50" s="16">
        <f>1/(1-POWER(1-$F50*$F$7*$F$9,Donnees!$D$4))</f>
        <v>3243.8083589698131</v>
      </c>
    </row>
    <row r="51" spans="1:18" x14ac:dyDescent="0.25">
      <c r="A51" t="s">
        <v>47</v>
      </c>
      <c r="B51" t="s">
        <v>410</v>
      </c>
      <c r="C51" t="s">
        <v>411</v>
      </c>
      <c r="D51" t="s">
        <v>52</v>
      </c>
      <c r="E51" s="3">
        <f>VLOOKUP(D51,$A$13:$F$16,5,FALSE)*_xlfn.XLOOKUP(Resultats!C51,Table1[name],Table1[cardRarityMultiplier])</f>
        <v>0.02</v>
      </c>
      <c r="F51" s="3">
        <f t="shared" si="4"/>
        <v>1.9999999999999987E-2</v>
      </c>
      <c r="G51" s="3">
        <f>1-POWER(1-E51,Donnees!$D$4)</f>
        <v>0.33239202824490588</v>
      </c>
      <c r="H51" s="3">
        <f t="shared" si="3"/>
        <v>3.0084957370373568</v>
      </c>
      <c r="I51" s="8">
        <f>1/(1-POWER(1-$F51*$F$3*$F$8,Donnees!$D$4))</f>
        <v>6.0857267969823825</v>
      </c>
      <c r="J51" s="8">
        <f>1/(1-POWER(1-$F51*$F$3*$F$9,Donnees!$D$4))</f>
        <v>50.838970189131004</v>
      </c>
      <c r="K51" s="10">
        <f>1/(1-POWER(1-$F51*$F$4*$F$8,Donnees!$D$4))</f>
        <v>9.6771866564579643</v>
      </c>
      <c r="L51" s="10">
        <f>1/(1-POWER(1-$F51*$F$4*$F$9,Donnees!$D$4))</f>
        <v>83.214100215587194</v>
      </c>
      <c r="M51" s="12">
        <f>1/(1-POWER(1-$F51*$F$5*$F$8,Donnees!$D$4))</f>
        <v>18.865770363543039</v>
      </c>
      <c r="N51" s="12">
        <f>1/(1-POWER(1-$F51*$F$5*$F$9,Donnees!$D$4))</f>
        <v>165.95169288991335</v>
      </c>
      <c r="O51" s="6">
        <f>1/(1-POWER(1-$F51*$F$6*$F$8,Donnees!$D$4))</f>
        <v>55.635237848282955</v>
      </c>
      <c r="P51" s="6">
        <f>1/(1-POWER(1-$F51*$F$6*$F$9,Donnees!$D$4))</f>
        <v>496.90373888289122</v>
      </c>
      <c r="Q51" s="16">
        <f>1/(1-POWER(1-$F51*$F$7*$F$8,Donnees!$D$4))</f>
        <v>386.58632641271407</v>
      </c>
      <c r="R51" s="16">
        <f>1/(1-POWER(1-$F51*$F$7*$F$9,Donnees!$D$4))</f>
        <v>3475.4750239175241</v>
      </c>
    </row>
    <row r="52" spans="1:18" x14ac:dyDescent="0.25">
      <c r="A52" t="s">
        <v>47</v>
      </c>
      <c r="B52" t="s">
        <v>420</v>
      </c>
      <c r="C52" t="s">
        <v>421</v>
      </c>
      <c r="D52" t="s">
        <v>52</v>
      </c>
      <c r="E52" s="3">
        <f>VLOOKUP(D52,$A$13:$F$16,5,FALSE)*_xlfn.XLOOKUP(Resultats!C52,Table1[name],Table1[cardRarityMultiplier])</f>
        <v>0.02</v>
      </c>
      <c r="F52" s="3">
        <f t="shared" si="4"/>
        <v>1.9999999999999987E-2</v>
      </c>
      <c r="G52" s="3">
        <f>1-POWER(1-E52,Donnees!$D$4)</f>
        <v>0.33239202824490588</v>
      </c>
      <c r="H52" s="3">
        <f t="shared" ref="H52:H69" si="5">1/G52</f>
        <v>3.0084957370373568</v>
      </c>
      <c r="I52" s="8">
        <f>1/(1-POWER(1-$F52*$F$3*$F$8,Donnees!$D$4))</f>
        <v>6.0857267969823825</v>
      </c>
      <c r="J52" s="8">
        <f>1/(1-POWER(1-$F52*$F$3*$F$9,Donnees!$D$4))</f>
        <v>50.838970189131004</v>
      </c>
      <c r="K52" s="10">
        <f>1/(1-POWER(1-$F52*$F$4*$F$8,Donnees!$D$4))</f>
        <v>9.6771866564579643</v>
      </c>
      <c r="L52" s="10">
        <f>1/(1-POWER(1-$F52*$F$4*$F$9,Donnees!$D$4))</f>
        <v>83.214100215587194</v>
      </c>
      <c r="M52" s="12">
        <f>1/(1-POWER(1-$F52*$F$5*$F$8,Donnees!$D$4))</f>
        <v>18.865770363543039</v>
      </c>
      <c r="N52" s="12">
        <f>1/(1-POWER(1-$F52*$F$5*$F$9,Donnees!$D$4))</f>
        <v>165.95169288991335</v>
      </c>
      <c r="O52" s="6">
        <f>1/(1-POWER(1-$F52*$F$6*$F$8,Donnees!$D$4))</f>
        <v>55.635237848282955</v>
      </c>
      <c r="P52" s="6">
        <f>1/(1-POWER(1-$F52*$F$6*$F$9,Donnees!$D$4))</f>
        <v>496.90373888289122</v>
      </c>
      <c r="Q52" s="16">
        <f>1/(1-POWER(1-$F52*$F$7*$F$8,Donnees!$D$4))</f>
        <v>386.58632641271407</v>
      </c>
      <c r="R52" s="16">
        <f>1/(1-POWER(1-$F52*$F$7*$F$9,Donnees!$D$4))</f>
        <v>3475.4750239175241</v>
      </c>
    </row>
    <row r="53" spans="1:18" x14ac:dyDescent="0.25">
      <c r="A53" t="s">
        <v>47</v>
      </c>
      <c r="B53" t="s">
        <v>430</v>
      </c>
      <c r="C53" t="s">
        <v>762</v>
      </c>
      <c r="D53" t="s">
        <v>52</v>
      </c>
      <c r="E53" s="3">
        <f>VLOOKUP(D53,$A$13:$F$16,5,FALSE)*_xlfn.XLOOKUP(Resultats!C53,Table1[name],Table1[cardRarityMultiplier])</f>
        <v>0.02</v>
      </c>
      <c r="F53" s="3">
        <f t="shared" si="4"/>
        <v>1.9999999999999987E-2</v>
      </c>
      <c r="G53" s="3">
        <f>1-POWER(1-E53,Donnees!$D$4)</f>
        <v>0.33239202824490588</v>
      </c>
      <c r="H53" s="3">
        <f t="shared" si="5"/>
        <v>3.0084957370373568</v>
      </c>
      <c r="I53" s="8">
        <f>1/(1-POWER(1-$F53*$F$3*$F$8,Donnees!$D$4))</f>
        <v>6.0857267969823825</v>
      </c>
      <c r="J53" s="8">
        <f>1/(1-POWER(1-$F53*$F$3*$F$9,Donnees!$D$4))</f>
        <v>50.838970189131004</v>
      </c>
      <c r="K53" s="10">
        <f>1/(1-POWER(1-$F53*$F$4*$F$8,Donnees!$D$4))</f>
        <v>9.6771866564579643</v>
      </c>
      <c r="L53" s="10">
        <f>1/(1-POWER(1-$F53*$F$4*$F$9,Donnees!$D$4))</f>
        <v>83.214100215587194</v>
      </c>
      <c r="M53" s="12">
        <f>1/(1-POWER(1-$F53*$F$5*$F$8,Donnees!$D$4))</f>
        <v>18.865770363543039</v>
      </c>
      <c r="N53" s="12">
        <f>1/(1-POWER(1-$F53*$F$5*$F$9,Donnees!$D$4))</f>
        <v>165.95169288991335</v>
      </c>
      <c r="O53" s="6">
        <f>1/(1-POWER(1-$F53*$F$6*$F$8,Donnees!$D$4))</f>
        <v>55.635237848282955</v>
      </c>
      <c r="P53" s="6">
        <f>1/(1-POWER(1-$F53*$F$6*$F$9,Donnees!$D$4))</f>
        <v>496.90373888289122</v>
      </c>
      <c r="Q53" s="16">
        <f>1/(1-POWER(1-$F53*$F$7*$F$8,Donnees!$D$4))</f>
        <v>386.58632641271407</v>
      </c>
      <c r="R53" s="16">
        <f>1/(1-POWER(1-$F53*$F$7*$F$9,Donnees!$D$4))</f>
        <v>3475.4750239175241</v>
      </c>
    </row>
    <row r="54" spans="1:18" x14ac:dyDescent="0.25">
      <c r="A54" t="s">
        <v>47</v>
      </c>
      <c r="B54" t="s">
        <v>442</v>
      </c>
      <c r="C54" t="s">
        <v>764</v>
      </c>
      <c r="D54" t="s">
        <v>52</v>
      </c>
      <c r="E54" s="3">
        <f>VLOOKUP(D54,$A$13:$F$16,5,FALSE)*_xlfn.XLOOKUP(Resultats!C54,Table1[name],Table1[cardRarityMultiplier])</f>
        <v>0.02</v>
      </c>
      <c r="F54" s="3">
        <f t="shared" si="4"/>
        <v>1.9999999999999987E-2</v>
      </c>
      <c r="G54" s="3">
        <f>1-POWER(1-E54,Donnees!$D$4)</f>
        <v>0.33239202824490588</v>
      </c>
      <c r="H54" s="3">
        <f t="shared" si="5"/>
        <v>3.0084957370373568</v>
      </c>
      <c r="I54" s="8">
        <f>1/(1-POWER(1-$F54*$F$3*$F$8,Donnees!$D$4))</f>
        <v>6.0857267969823825</v>
      </c>
      <c r="J54" s="8">
        <f>1/(1-POWER(1-$F54*$F$3*$F$9,Donnees!$D$4))</f>
        <v>50.838970189131004</v>
      </c>
      <c r="K54" s="10">
        <f>1/(1-POWER(1-$F54*$F$4*$F$8,Donnees!$D$4))</f>
        <v>9.6771866564579643</v>
      </c>
      <c r="L54" s="10">
        <f>1/(1-POWER(1-$F54*$F$4*$F$9,Donnees!$D$4))</f>
        <v>83.214100215587194</v>
      </c>
      <c r="M54" s="12">
        <f>1/(1-POWER(1-$F54*$F$5*$F$8,Donnees!$D$4))</f>
        <v>18.865770363543039</v>
      </c>
      <c r="N54" s="12">
        <f>1/(1-POWER(1-$F54*$F$5*$F$9,Donnees!$D$4))</f>
        <v>165.95169288991335</v>
      </c>
      <c r="O54" s="6">
        <f>1/(1-POWER(1-$F54*$F$6*$F$8,Donnees!$D$4))</f>
        <v>55.635237848282955</v>
      </c>
      <c r="P54" s="6">
        <f>1/(1-POWER(1-$F54*$F$6*$F$9,Donnees!$D$4))</f>
        <v>496.90373888289122</v>
      </c>
      <c r="Q54" s="16">
        <f>1/(1-POWER(1-$F54*$F$7*$F$8,Donnees!$D$4))</f>
        <v>386.58632641271407</v>
      </c>
      <c r="R54" s="16">
        <f>1/(1-POWER(1-$F54*$F$7*$F$9,Donnees!$D$4))</f>
        <v>3475.4750239175241</v>
      </c>
    </row>
    <row r="55" spans="1:18" x14ac:dyDescent="0.25">
      <c r="A55" t="s">
        <v>47</v>
      </c>
      <c r="B55" t="s">
        <v>453</v>
      </c>
      <c r="C55" t="s">
        <v>454</v>
      </c>
      <c r="D55" t="s">
        <v>70</v>
      </c>
      <c r="E55" s="3">
        <f>VLOOKUP(D55,$A$13:$F$16,5,FALSE)*_xlfn.XLOOKUP(Resultats!C55,Table1[name],Table1[cardRarityMultiplier])</f>
        <v>2.1428571428571429E-2</v>
      </c>
      <c r="F55" s="3">
        <f t="shared" si="4"/>
        <v>2.1428571428571415E-2</v>
      </c>
      <c r="G55" s="3">
        <f>1-POWER(1-E55,Donnees!$D$4)</f>
        <v>0.35158861821263243</v>
      </c>
      <c r="H55" s="3">
        <f t="shared" si="5"/>
        <v>2.8442331412310504</v>
      </c>
      <c r="I55" s="8">
        <f>1/(1-POWER(1-$F55*$F$3*$F$8,Donnees!$D$4))</f>
        <v>5.7137417013118368</v>
      </c>
      <c r="J55" s="8">
        <f>1/(1-POWER(1-$F55*$F$3*$F$9,Donnees!$D$4))</f>
        <v>47.481600280957529</v>
      </c>
      <c r="K55" s="10">
        <f>1/(1-POWER(1-$F55*$F$4*$F$8,Donnees!$D$4))</f>
        <v>9.064960983515661</v>
      </c>
      <c r="L55" s="10">
        <f>1/(1-POWER(1-$F55*$F$4*$F$9,Donnees!$D$4))</f>
        <v>77.698299006688089</v>
      </c>
      <c r="M55" s="12">
        <f>1/(1-POWER(1-$F55*$F$5*$F$8,Donnees!$D$4))</f>
        <v>17.640344596567786</v>
      </c>
      <c r="N55" s="12">
        <f>1/(1-POWER(1-$F55*$F$5*$F$9,Donnees!$D$4))</f>
        <v>154.9199827506408</v>
      </c>
      <c r="O55" s="6">
        <f>1/(1-POWER(1-$F55*$F$6*$F$8,Donnees!$D$4))</f>
        <v>51.95809691416796</v>
      </c>
      <c r="P55" s="6">
        <f>1/(1-POWER(1-$F55*$F$6*$F$9,Donnees!$D$4))</f>
        <v>463.80851274980165</v>
      </c>
      <c r="Q55" s="16">
        <f>1/(1-POWER(1-$F55*$F$7*$F$8,Donnees!$D$4))</f>
        <v>360.84560105190172</v>
      </c>
      <c r="R55" s="16">
        <f>1/(1-POWER(1-$F55*$F$7*$F$9,Donnees!$D$4))</f>
        <v>3243.8083589698131</v>
      </c>
    </row>
    <row r="56" spans="1:18" x14ac:dyDescent="0.25">
      <c r="A56" t="s">
        <v>47</v>
      </c>
      <c r="B56" t="s">
        <v>464</v>
      </c>
      <c r="C56" t="s">
        <v>767</v>
      </c>
      <c r="D56" t="s">
        <v>305</v>
      </c>
      <c r="E56" s="3">
        <f>VLOOKUP(D56,$A$13:$F$16,5,FALSE)*_xlfn.XLOOKUP(Resultats!C56,Table1[name],Table1[cardRarityMultiplier])</f>
        <v>1.8749999999999999E-2</v>
      </c>
      <c r="F56" s="3">
        <f t="shared" si="4"/>
        <v>1.8749999999999985E-2</v>
      </c>
      <c r="G56" s="3">
        <f>1-POWER(1-E56,Donnees!$D$4)</f>
        <v>0.31515325639173553</v>
      </c>
      <c r="H56" s="3">
        <f t="shared" si="5"/>
        <v>3.1730593916408716</v>
      </c>
      <c r="I56" s="8">
        <f>1/(1-POWER(1-$F56*$F$3*$F$8,Donnees!$D$4))</f>
        <v>6.4578458934330172</v>
      </c>
      <c r="J56" s="8">
        <f>1/(1-POWER(1-$F56*$F$3*$F$9,Donnees!$D$4))</f>
        <v>54.196354855722817</v>
      </c>
      <c r="K56" s="10">
        <f>1/(1-POWER(1-$F56*$F$4*$F$8,Donnees!$D$4))</f>
        <v>10.289493630089176</v>
      </c>
      <c r="L56" s="10">
        <f>1/(1-POWER(1-$F56*$F$4*$F$9,Donnees!$D$4))</f>
        <v>88.729910402846656</v>
      </c>
      <c r="M56" s="12">
        <f>1/(1-POWER(1-$F56*$F$5*$F$8,Donnees!$D$4))</f>
        <v>20.091236650595796</v>
      </c>
      <c r="N56" s="12">
        <f>1/(1-POWER(1-$F56*$F$5*$F$9,Donnees!$D$4))</f>
        <v>176.98340751640595</v>
      </c>
      <c r="O56" s="6">
        <f>1/(1-POWER(1-$F56*$F$6*$F$8,Donnees!$D$4))</f>
        <v>59.312392255803132</v>
      </c>
      <c r="P56" s="6">
        <f>1/(1-POWER(1-$F56*$F$6*$F$9,Donnees!$D$4))</f>
        <v>529.99896651203778</v>
      </c>
      <c r="Q56" s="16">
        <f>1/(1-POWER(1-$F56*$F$7*$F$8,Donnees!$D$4))</f>
        <v>412.3270536965432</v>
      </c>
      <c r="R56" s="16">
        <f>1/(1-POWER(1-$F56*$F$7*$F$9,Donnees!$D$4))</f>
        <v>3707.1416890942214</v>
      </c>
    </row>
    <row r="57" spans="1:18" x14ac:dyDescent="0.25">
      <c r="A57" t="s">
        <v>47</v>
      </c>
      <c r="B57" t="s">
        <v>475</v>
      </c>
      <c r="C57" t="s">
        <v>476</v>
      </c>
      <c r="D57" t="s">
        <v>70</v>
      </c>
      <c r="E57" s="3">
        <f>VLOOKUP(D57,$A$13:$F$16,5,FALSE)*_xlfn.XLOOKUP(Resultats!C57,Table1[name],Table1[cardRarityMultiplier])</f>
        <v>2.1428571428571429E-2</v>
      </c>
      <c r="F57" s="3">
        <f t="shared" si="4"/>
        <v>2.1428571428571415E-2</v>
      </c>
      <c r="G57" s="3">
        <f>1-POWER(1-E57,Donnees!$D$4)</f>
        <v>0.35158861821263243</v>
      </c>
      <c r="H57" s="3">
        <f t="shared" si="5"/>
        <v>2.8442331412310504</v>
      </c>
      <c r="I57" s="8">
        <f>1/(1-POWER(1-$F57*$F$3*$F$8,Donnees!$D$4))</f>
        <v>5.7137417013118368</v>
      </c>
      <c r="J57" s="8">
        <f>1/(1-POWER(1-$F57*$F$3*$F$9,Donnees!$D$4))</f>
        <v>47.481600280957529</v>
      </c>
      <c r="K57" s="10">
        <f>1/(1-POWER(1-$F57*$F$4*$F$8,Donnees!$D$4))</f>
        <v>9.064960983515661</v>
      </c>
      <c r="L57" s="10">
        <f>1/(1-POWER(1-$F57*$F$4*$F$9,Donnees!$D$4))</f>
        <v>77.698299006688089</v>
      </c>
      <c r="M57" s="12">
        <f>1/(1-POWER(1-$F57*$F$5*$F$8,Donnees!$D$4))</f>
        <v>17.640344596567786</v>
      </c>
      <c r="N57" s="12">
        <f>1/(1-POWER(1-$F57*$F$5*$F$9,Donnees!$D$4))</f>
        <v>154.9199827506408</v>
      </c>
      <c r="O57" s="6">
        <f>1/(1-POWER(1-$F57*$F$6*$F$8,Donnees!$D$4))</f>
        <v>51.95809691416796</v>
      </c>
      <c r="P57" s="6">
        <f>1/(1-POWER(1-$F57*$F$6*$F$9,Donnees!$D$4))</f>
        <v>463.80851274980165</v>
      </c>
      <c r="Q57" s="16">
        <f>1/(1-POWER(1-$F57*$F$7*$F$8,Donnees!$D$4))</f>
        <v>360.84560105190172</v>
      </c>
      <c r="R57" s="16">
        <f>1/(1-POWER(1-$F57*$F$7*$F$9,Donnees!$D$4))</f>
        <v>3243.8083589698131</v>
      </c>
    </row>
    <row r="58" spans="1:18" x14ac:dyDescent="0.25">
      <c r="A58" t="s">
        <v>47</v>
      </c>
      <c r="B58" t="s">
        <v>487</v>
      </c>
      <c r="C58" t="s">
        <v>488</v>
      </c>
      <c r="D58" t="s">
        <v>70</v>
      </c>
      <c r="E58" s="3">
        <f>VLOOKUP(D58,$A$13:$F$16,5,FALSE)*_xlfn.XLOOKUP(Resultats!C58,Table1[name],Table1[cardRarityMultiplier])</f>
        <v>2.1428571428571429E-2</v>
      </c>
      <c r="F58" s="3">
        <f t="shared" si="4"/>
        <v>2.1428571428571415E-2</v>
      </c>
      <c r="G58" s="3">
        <f>1-POWER(1-E58,Donnees!$D$4)</f>
        <v>0.35158861821263243</v>
      </c>
      <c r="H58" s="3">
        <f t="shared" si="5"/>
        <v>2.8442331412310504</v>
      </c>
      <c r="I58" s="8">
        <f>1/(1-POWER(1-$F58*$F$3*$F$8,Donnees!$D$4))</f>
        <v>5.7137417013118368</v>
      </c>
      <c r="J58" s="8">
        <f>1/(1-POWER(1-$F58*$F$3*$F$9,Donnees!$D$4))</f>
        <v>47.481600280957529</v>
      </c>
      <c r="K58" s="10">
        <f>1/(1-POWER(1-$F58*$F$4*$F$8,Donnees!$D$4))</f>
        <v>9.064960983515661</v>
      </c>
      <c r="L58" s="10">
        <f>1/(1-POWER(1-$F58*$F$4*$F$9,Donnees!$D$4))</f>
        <v>77.698299006688089</v>
      </c>
      <c r="M58" s="12">
        <f>1/(1-POWER(1-$F58*$F$5*$F$8,Donnees!$D$4))</f>
        <v>17.640344596567786</v>
      </c>
      <c r="N58" s="12">
        <f>1/(1-POWER(1-$F58*$F$5*$F$9,Donnees!$D$4))</f>
        <v>154.9199827506408</v>
      </c>
      <c r="O58" s="6">
        <f>1/(1-POWER(1-$F58*$F$6*$F$8,Donnees!$D$4))</f>
        <v>51.95809691416796</v>
      </c>
      <c r="P58" s="6">
        <f>1/(1-POWER(1-$F58*$F$6*$F$9,Donnees!$D$4))</f>
        <v>463.80851274980165</v>
      </c>
      <c r="Q58" s="16">
        <f>1/(1-POWER(1-$F58*$F$7*$F$8,Donnees!$D$4))</f>
        <v>360.84560105190172</v>
      </c>
      <c r="R58" s="16">
        <f>1/(1-POWER(1-$F58*$F$7*$F$9,Donnees!$D$4))</f>
        <v>3243.8083589698131</v>
      </c>
    </row>
    <row r="59" spans="1:18" x14ac:dyDescent="0.25">
      <c r="A59" t="s">
        <v>47</v>
      </c>
      <c r="B59" t="s">
        <v>499</v>
      </c>
      <c r="C59" t="s">
        <v>500</v>
      </c>
      <c r="D59" t="s">
        <v>305</v>
      </c>
      <c r="E59" s="3">
        <f>VLOOKUP(D59,$A$13:$F$16,5,FALSE)*_xlfn.XLOOKUP(Resultats!C59,Table1[name],Table1[cardRarityMultiplier])</f>
        <v>1.8749999999999999E-2</v>
      </c>
      <c r="F59" s="3">
        <f t="shared" si="4"/>
        <v>1.8749999999999985E-2</v>
      </c>
      <c r="G59" s="3">
        <f>1-POWER(1-E59,Donnees!$D$4)</f>
        <v>0.31515325639173553</v>
      </c>
      <c r="H59" s="3">
        <f t="shared" si="5"/>
        <v>3.1730593916408716</v>
      </c>
      <c r="I59" s="8">
        <f>1/(1-POWER(1-$F59*$F$3*$F$8,Donnees!$D$4))</f>
        <v>6.4578458934330172</v>
      </c>
      <c r="J59" s="8">
        <f>1/(1-POWER(1-$F59*$F$3*$F$9,Donnees!$D$4))</f>
        <v>54.196354855722817</v>
      </c>
      <c r="K59" s="10">
        <f>1/(1-POWER(1-$F59*$F$4*$F$8,Donnees!$D$4))</f>
        <v>10.289493630089176</v>
      </c>
      <c r="L59" s="10">
        <f>1/(1-POWER(1-$F59*$F$4*$F$9,Donnees!$D$4))</f>
        <v>88.729910402846656</v>
      </c>
      <c r="M59" s="12">
        <f>1/(1-POWER(1-$F59*$F$5*$F$8,Donnees!$D$4))</f>
        <v>20.091236650595796</v>
      </c>
      <c r="N59" s="12">
        <f>1/(1-POWER(1-$F59*$F$5*$F$9,Donnees!$D$4))</f>
        <v>176.98340751640595</v>
      </c>
      <c r="O59" s="6">
        <f>1/(1-POWER(1-$F59*$F$6*$F$8,Donnees!$D$4))</f>
        <v>59.312392255803132</v>
      </c>
      <c r="P59" s="6">
        <f>1/(1-POWER(1-$F59*$F$6*$F$9,Donnees!$D$4))</f>
        <v>529.99896651203778</v>
      </c>
      <c r="Q59" s="16">
        <f>1/(1-POWER(1-$F59*$F$7*$F$8,Donnees!$D$4))</f>
        <v>412.3270536965432</v>
      </c>
      <c r="R59" s="16">
        <f>1/(1-POWER(1-$F59*$F$7*$F$9,Donnees!$D$4))</f>
        <v>3707.1416890942214</v>
      </c>
    </row>
    <row r="60" spans="1:18" x14ac:dyDescent="0.25">
      <c r="A60" t="s">
        <v>47</v>
      </c>
      <c r="B60" t="s">
        <v>513</v>
      </c>
      <c r="C60" t="s">
        <v>514</v>
      </c>
      <c r="D60" t="s">
        <v>305</v>
      </c>
      <c r="E60" s="3">
        <f>VLOOKUP(D60,$A$13:$F$16,5,FALSE)*_xlfn.XLOOKUP(Resultats!C60,Table1[name],Table1[cardRarityMultiplier])</f>
        <v>1.8749999999999999E-2</v>
      </c>
      <c r="F60" s="3">
        <f t="shared" si="4"/>
        <v>1.8749999999999985E-2</v>
      </c>
      <c r="G60" s="3">
        <f>1-POWER(1-E60,Donnees!$D$4)</f>
        <v>0.31515325639173553</v>
      </c>
      <c r="H60" s="3">
        <f t="shared" si="5"/>
        <v>3.1730593916408716</v>
      </c>
      <c r="I60" s="8">
        <f>1/(1-POWER(1-$F60*$F$3*$F$8,Donnees!$D$4))</f>
        <v>6.4578458934330172</v>
      </c>
      <c r="J60" s="8">
        <f>1/(1-POWER(1-$F60*$F$3*$F$9,Donnees!$D$4))</f>
        <v>54.196354855722817</v>
      </c>
      <c r="K60" s="10">
        <f>1/(1-POWER(1-$F60*$F$4*$F$8,Donnees!$D$4))</f>
        <v>10.289493630089176</v>
      </c>
      <c r="L60" s="10">
        <f>1/(1-POWER(1-$F60*$F$4*$F$9,Donnees!$D$4))</f>
        <v>88.729910402846656</v>
      </c>
      <c r="M60" s="12">
        <f>1/(1-POWER(1-$F60*$F$5*$F$8,Donnees!$D$4))</f>
        <v>20.091236650595796</v>
      </c>
      <c r="N60" s="12">
        <f>1/(1-POWER(1-$F60*$F$5*$F$9,Donnees!$D$4))</f>
        <v>176.98340751640595</v>
      </c>
      <c r="O60" s="6">
        <f>1/(1-POWER(1-$F60*$F$6*$F$8,Donnees!$D$4))</f>
        <v>59.312392255803132</v>
      </c>
      <c r="P60" s="6">
        <f>1/(1-POWER(1-$F60*$F$6*$F$9,Donnees!$D$4))</f>
        <v>529.99896651203778</v>
      </c>
      <c r="Q60" s="16">
        <f>1/(1-POWER(1-$F60*$F$7*$F$8,Donnees!$D$4))</f>
        <v>412.3270536965432</v>
      </c>
      <c r="R60" s="16">
        <f>1/(1-POWER(1-$F60*$F$7*$F$9,Donnees!$D$4))</f>
        <v>3707.1416890942214</v>
      </c>
    </row>
    <row r="61" spans="1:18" x14ac:dyDescent="0.25">
      <c r="A61" t="s">
        <v>47</v>
      </c>
      <c r="B61" t="s">
        <v>527</v>
      </c>
      <c r="C61" t="s">
        <v>528</v>
      </c>
      <c r="D61" t="s">
        <v>305</v>
      </c>
      <c r="E61" s="3">
        <f>VLOOKUP(D61,$A$13:$F$16,5,FALSE)*_xlfn.XLOOKUP(Resultats!C61,Table1[name],Table1[cardRarityMultiplier])</f>
        <v>1.8749999999999999E-2</v>
      </c>
      <c r="F61" s="3">
        <f t="shared" si="4"/>
        <v>1.8749999999999985E-2</v>
      </c>
      <c r="G61" s="3">
        <f>1-POWER(1-E61,Donnees!$D$4)</f>
        <v>0.31515325639173553</v>
      </c>
      <c r="H61" s="3">
        <f t="shared" si="5"/>
        <v>3.1730593916408716</v>
      </c>
      <c r="I61" s="8">
        <f>1/(1-POWER(1-$F61*$F$3*$F$8,Donnees!$D$4))</f>
        <v>6.4578458934330172</v>
      </c>
      <c r="J61" s="8">
        <f>1/(1-POWER(1-$F61*$F$3*$F$9,Donnees!$D$4))</f>
        <v>54.196354855722817</v>
      </c>
      <c r="K61" s="10">
        <f>1/(1-POWER(1-$F61*$F$4*$F$8,Donnees!$D$4))</f>
        <v>10.289493630089176</v>
      </c>
      <c r="L61" s="10">
        <f>1/(1-POWER(1-$F61*$F$4*$F$9,Donnees!$D$4))</f>
        <v>88.729910402846656</v>
      </c>
      <c r="M61" s="12">
        <f>1/(1-POWER(1-$F61*$F$5*$F$8,Donnees!$D$4))</f>
        <v>20.091236650595796</v>
      </c>
      <c r="N61" s="12">
        <f>1/(1-POWER(1-$F61*$F$5*$F$9,Donnees!$D$4))</f>
        <v>176.98340751640595</v>
      </c>
      <c r="O61" s="6">
        <f>1/(1-POWER(1-$F61*$F$6*$F$8,Donnees!$D$4))</f>
        <v>59.312392255803132</v>
      </c>
      <c r="P61" s="6">
        <f>1/(1-POWER(1-$F61*$F$6*$F$9,Donnees!$D$4))</f>
        <v>529.99896651203778</v>
      </c>
      <c r="Q61" s="16">
        <f>1/(1-POWER(1-$F61*$F$7*$F$8,Donnees!$D$4))</f>
        <v>412.3270536965432</v>
      </c>
      <c r="R61" s="16">
        <f>1/(1-POWER(1-$F61*$F$7*$F$9,Donnees!$D$4))</f>
        <v>3707.1416890942214</v>
      </c>
    </row>
    <row r="62" spans="1:18" x14ac:dyDescent="0.25">
      <c r="A62" t="s">
        <v>47</v>
      </c>
      <c r="B62" t="s">
        <v>539</v>
      </c>
      <c r="C62" t="s">
        <v>540</v>
      </c>
      <c r="D62" t="s">
        <v>52</v>
      </c>
      <c r="E62" s="3">
        <f>VLOOKUP(D62,$A$13:$F$16,5,FALSE)*_xlfn.XLOOKUP(Resultats!C62,Table1[name],Table1[cardRarityMultiplier])</f>
        <v>0.02</v>
      </c>
      <c r="F62" s="3">
        <f t="shared" si="4"/>
        <v>1.9999999999999987E-2</v>
      </c>
      <c r="G62" s="3">
        <f>1-POWER(1-E62,Donnees!$D$4)</f>
        <v>0.33239202824490588</v>
      </c>
      <c r="H62" s="3">
        <f t="shared" si="5"/>
        <v>3.0084957370373568</v>
      </c>
      <c r="I62" s="8">
        <f>1/(1-POWER(1-$F62*$F$3*$F$8,Donnees!$D$4))</f>
        <v>6.0857267969823825</v>
      </c>
      <c r="J62" s="8">
        <f>1/(1-POWER(1-$F62*$F$3*$F$9,Donnees!$D$4))</f>
        <v>50.838970189131004</v>
      </c>
      <c r="K62" s="10">
        <f>1/(1-POWER(1-$F62*$F$4*$F$8,Donnees!$D$4))</f>
        <v>9.6771866564579643</v>
      </c>
      <c r="L62" s="10">
        <f>1/(1-POWER(1-$F62*$F$4*$F$9,Donnees!$D$4))</f>
        <v>83.214100215587194</v>
      </c>
      <c r="M62" s="12">
        <f>1/(1-POWER(1-$F62*$F$5*$F$8,Donnees!$D$4))</f>
        <v>18.865770363543039</v>
      </c>
      <c r="N62" s="12">
        <f>1/(1-POWER(1-$F62*$F$5*$F$9,Donnees!$D$4))</f>
        <v>165.95169288991335</v>
      </c>
      <c r="O62" s="6">
        <f>1/(1-POWER(1-$F62*$F$6*$F$8,Donnees!$D$4))</f>
        <v>55.635237848282955</v>
      </c>
      <c r="P62" s="6">
        <f>1/(1-POWER(1-$F62*$F$6*$F$9,Donnees!$D$4))</f>
        <v>496.90373888289122</v>
      </c>
      <c r="Q62" s="16">
        <f>1/(1-POWER(1-$F62*$F$7*$F$8,Donnees!$D$4))</f>
        <v>386.58632641271407</v>
      </c>
      <c r="R62" s="16">
        <f>1/(1-POWER(1-$F62*$F$7*$F$9,Donnees!$D$4))</f>
        <v>3475.4750239175241</v>
      </c>
    </row>
    <row r="63" spans="1:18" x14ac:dyDescent="0.25">
      <c r="A63" t="s">
        <v>47</v>
      </c>
      <c r="B63" t="s">
        <v>549</v>
      </c>
      <c r="C63" t="s">
        <v>771</v>
      </c>
      <c r="D63" t="s">
        <v>305</v>
      </c>
      <c r="E63" s="3">
        <f>VLOOKUP(D63,$A$13:$F$16,5,FALSE)*_xlfn.XLOOKUP(Resultats!C63,Table1[name],Table1[cardRarityMultiplier])</f>
        <v>1.8749999999999999E-2</v>
      </c>
      <c r="F63" s="3">
        <f t="shared" si="4"/>
        <v>1.8749999999999985E-2</v>
      </c>
      <c r="G63" s="3">
        <f>1-POWER(1-E63,Donnees!$D$4)</f>
        <v>0.31515325639173553</v>
      </c>
      <c r="H63" s="3">
        <f t="shared" si="5"/>
        <v>3.1730593916408716</v>
      </c>
      <c r="I63" s="8">
        <f>1/(1-POWER(1-$F63*$F$3*$F$8,Donnees!$D$4))</f>
        <v>6.4578458934330172</v>
      </c>
      <c r="J63" s="8">
        <f>1/(1-POWER(1-$F63*$F$3*$F$9,Donnees!$D$4))</f>
        <v>54.196354855722817</v>
      </c>
      <c r="K63" s="10">
        <f>1/(1-POWER(1-$F63*$F$4*$F$8,Donnees!$D$4))</f>
        <v>10.289493630089176</v>
      </c>
      <c r="L63" s="10">
        <f>1/(1-POWER(1-$F63*$F$4*$F$9,Donnees!$D$4))</f>
        <v>88.729910402846656</v>
      </c>
      <c r="M63" s="12">
        <f>1/(1-POWER(1-$F63*$F$5*$F$8,Donnees!$D$4))</f>
        <v>20.091236650595796</v>
      </c>
      <c r="N63" s="12">
        <f>1/(1-POWER(1-$F63*$F$5*$F$9,Donnees!$D$4))</f>
        <v>176.98340751640595</v>
      </c>
      <c r="O63" s="6">
        <f>1/(1-POWER(1-$F63*$F$6*$F$8,Donnees!$D$4))</f>
        <v>59.312392255803132</v>
      </c>
      <c r="P63" s="6">
        <f>1/(1-POWER(1-$F63*$F$6*$F$9,Donnees!$D$4))</f>
        <v>529.99896651203778</v>
      </c>
      <c r="Q63" s="16">
        <f>1/(1-POWER(1-$F63*$F$7*$F$8,Donnees!$D$4))</f>
        <v>412.3270536965432</v>
      </c>
      <c r="R63" s="16">
        <f>1/(1-POWER(1-$F63*$F$7*$F$9,Donnees!$D$4))</f>
        <v>3707.1416890942214</v>
      </c>
    </row>
    <row r="64" spans="1:18" x14ac:dyDescent="0.25">
      <c r="A64" t="s">
        <v>47</v>
      </c>
      <c r="B64" t="s">
        <v>559</v>
      </c>
      <c r="C64" t="s">
        <v>146</v>
      </c>
      <c r="D64" t="s">
        <v>52</v>
      </c>
      <c r="E64" s="3">
        <f>VLOOKUP(D64,$A$13:$F$16,5,FALSE)*_xlfn.XLOOKUP(Resultats!C64,Table1[name],Table1[cardRarityMultiplier])</f>
        <v>0.02</v>
      </c>
      <c r="F64" s="3">
        <f t="shared" si="4"/>
        <v>1.9999999999999987E-2</v>
      </c>
      <c r="G64" s="3">
        <f>1-POWER(1-E64,Donnees!$D$4)</f>
        <v>0.33239202824490588</v>
      </c>
      <c r="H64" s="3">
        <f t="shared" si="5"/>
        <v>3.0084957370373568</v>
      </c>
      <c r="I64" s="8">
        <f>1/(1-POWER(1-$F64*$F$3*$F$8,Donnees!$D$4))</f>
        <v>6.0857267969823825</v>
      </c>
      <c r="J64" s="8">
        <f>1/(1-POWER(1-$F64*$F$3*$F$9,Donnees!$D$4))</f>
        <v>50.838970189131004</v>
      </c>
      <c r="K64" s="10">
        <f>1/(1-POWER(1-$F64*$F$4*$F$8,Donnees!$D$4))</f>
        <v>9.6771866564579643</v>
      </c>
      <c r="L64" s="10">
        <f>1/(1-POWER(1-$F64*$F$4*$F$9,Donnees!$D$4))</f>
        <v>83.214100215587194</v>
      </c>
      <c r="M64" s="12">
        <f>1/(1-POWER(1-$F64*$F$5*$F$8,Donnees!$D$4))</f>
        <v>18.865770363543039</v>
      </c>
      <c r="N64" s="12">
        <f>1/(1-POWER(1-$F64*$F$5*$F$9,Donnees!$D$4))</f>
        <v>165.95169288991335</v>
      </c>
      <c r="O64" s="6">
        <f>1/(1-POWER(1-$F64*$F$6*$F$8,Donnees!$D$4))</f>
        <v>55.635237848282955</v>
      </c>
      <c r="P64" s="6">
        <f>1/(1-POWER(1-$F64*$F$6*$F$9,Donnees!$D$4))</f>
        <v>496.90373888289122</v>
      </c>
      <c r="Q64" s="16">
        <f>1/(1-POWER(1-$F64*$F$7*$F$8,Donnees!$D$4))</f>
        <v>386.58632641271407</v>
      </c>
      <c r="R64" s="16">
        <f>1/(1-POWER(1-$F64*$F$7*$F$9,Donnees!$D$4))</f>
        <v>3475.4750239175241</v>
      </c>
    </row>
    <row r="65" spans="1:18" x14ac:dyDescent="0.25">
      <c r="A65" t="s">
        <v>47</v>
      </c>
      <c r="B65" t="s">
        <v>568</v>
      </c>
      <c r="C65" t="s">
        <v>773</v>
      </c>
      <c r="D65" t="s">
        <v>52</v>
      </c>
      <c r="E65" s="3">
        <f>VLOOKUP(D65,$A$13:$F$16,5,FALSE)*_xlfn.XLOOKUP(Resultats!C65,Table1[name],Table1[cardRarityMultiplier])</f>
        <v>0.02</v>
      </c>
      <c r="F65" s="3">
        <f t="shared" si="4"/>
        <v>1.9999999999999987E-2</v>
      </c>
      <c r="G65" s="3">
        <f>1-POWER(1-E65,Donnees!$D$4)</f>
        <v>0.33239202824490588</v>
      </c>
      <c r="H65" s="3">
        <f t="shared" si="5"/>
        <v>3.0084957370373568</v>
      </c>
      <c r="I65" s="8">
        <f>1/(1-POWER(1-$F65*$F$3*$F$8,Donnees!$D$4))</f>
        <v>6.0857267969823825</v>
      </c>
      <c r="J65" s="8">
        <f>1/(1-POWER(1-$F65*$F$3*$F$9,Donnees!$D$4))</f>
        <v>50.838970189131004</v>
      </c>
      <c r="K65" s="10">
        <f>1/(1-POWER(1-$F65*$F$4*$F$8,Donnees!$D$4))</f>
        <v>9.6771866564579643</v>
      </c>
      <c r="L65" s="10">
        <f>1/(1-POWER(1-$F65*$F$4*$F$9,Donnees!$D$4))</f>
        <v>83.214100215587194</v>
      </c>
      <c r="M65" s="12">
        <f>1/(1-POWER(1-$F65*$F$5*$F$8,Donnees!$D$4))</f>
        <v>18.865770363543039</v>
      </c>
      <c r="N65" s="12">
        <f>1/(1-POWER(1-$F65*$F$5*$F$9,Donnees!$D$4))</f>
        <v>165.95169288991335</v>
      </c>
      <c r="O65" s="6">
        <f>1/(1-POWER(1-$F65*$F$6*$F$8,Donnees!$D$4))</f>
        <v>55.635237848282955</v>
      </c>
      <c r="P65" s="6">
        <f>1/(1-POWER(1-$F65*$F$6*$F$9,Donnees!$D$4))</f>
        <v>496.90373888289122</v>
      </c>
      <c r="Q65" s="16">
        <f>1/(1-POWER(1-$F65*$F$7*$F$8,Donnees!$D$4))</f>
        <v>386.58632641271407</v>
      </c>
      <c r="R65" s="16">
        <f>1/(1-POWER(1-$F65*$F$7*$F$9,Donnees!$D$4))</f>
        <v>3475.4750239175241</v>
      </c>
    </row>
    <row r="66" spans="1:18" x14ac:dyDescent="0.25">
      <c r="A66" t="s">
        <v>47</v>
      </c>
      <c r="B66" t="s">
        <v>574</v>
      </c>
      <c r="C66" t="s">
        <v>775</v>
      </c>
      <c r="D66" t="s">
        <v>52</v>
      </c>
      <c r="E66" s="3">
        <f>VLOOKUP(D66,$A$13:$F$16,5,FALSE)*_xlfn.XLOOKUP(Resultats!C66,Table1[name],Table1[cardRarityMultiplier])</f>
        <v>0.02</v>
      </c>
      <c r="F66" s="3">
        <f t="shared" si="4"/>
        <v>1.9999999999999987E-2</v>
      </c>
      <c r="G66" s="3">
        <f>1-POWER(1-E66,Donnees!$D$4)</f>
        <v>0.33239202824490588</v>
      </c>
      <c r="H66" s="3">
        <f t="shared" si="5"/>
        <v>3.0084957370373568</v>
      </c>
      <c r="I66" s="8">
        <f>1/(1-POWER(1-$F66*$F$3*$F$8,Donnees!$D$4))</f>
        <v>6.0857267969823825</v>
      </c>
      <c r="J66" s="8">
        <f>1/(1-POWER(1-$F66*$F$3*$F$9,Donnees!$D$4))</f>
        <v>50.838970189131004</v>
      </c>
      <c r="K66" s="10">
        <f>1/(1-POWER(1-$F66*$F$4*$F$8,Donnees!$D$4))</f>
        <v>9.6771866564579643</v>
      </c>
      <c r="L66" s="10">
        <f>1/(1-POWER(1-$F66*$F$4*$F$9,Donnees!$D$4))</f>
        <v>83.214100215587194</v>
      </c>
      <c r="M66" s="12">
        <f>1/(1-POWER(1-$F66*$F$5*$F$8,Donnees!$D$4))</f>
        <v>18.865770363543039</v>
      </c>
      <c r="N66" s="12">
        <f>1/(1-POWER(1-$F66*$F$5*$F$9,Donnees!$D$4))</f>
        <v>165.95169288991335</v>
      </c>
      <c r="O66" s="6">
        <f>1/(1-POWER(1-$F66*$F$6*$F$8,Donnees!$D$4))</f>
        <v>55.635237848282955</v>
      </c>
      <c r="P66" s="6">
        <f>1/(1-POWER(1-$F66*$F$6*$F$9,Donnees!$D$4))</f>
        <v>496.90373888289122</v>
      </c>
      <c r="Q66" s="16">
        <f>1/(1-POWER(1-$F66*$F$7*$F$8,Donnees!$D$4))</f>
        <v>386.58632641271407</v>
      </c>
      <c r="R66" s="16">
        <f>1/(1-POWER(1-$F66*$F$7*$F$9,Donnees!$D$4))</f>
        <v>3475.4750239175241</v>
      </c>
    </row>
    <row r="67" spans="1:18" x14ac:dyDescent="0.25">
      <c r="A67" t="s">
        <v>47</v>
      </c>
      <c r="B67" t="s">
        <v>580</v>
      </c>
      <c r="C67" t="s">
        <v>776</v>
      </c>
      <c r="D67" t="s">
        <v>52</v>
      </c>
      <c r="E67" s="3">
        <f>VLOOKUP(D67,$A$13:$F$16,5,FALSE)*_xlfn.XLOOKUP(Resultats!C67,Table1[name],Table1[cardRarityMultiplier])</f>
        <v>0.02</v>
      </c>
      <c r="F67" s="3">
        <f t="shared" si="4"/>
        <v>1.9999999999999987E-2</v>
      </c>
      <c r="G67" s="3">
        <f>1-POWER(1-E67,Donnees!$D$4)</f>
        <v>0.33239202824490588</v>
      </c>
      <c r="H67" s="3">
        <f t="shared" si="5"/>
        <v>3.0084957370373568</v>
      </c>
      <c r="I67" s="8">
        <f>1/(1-POWER(1-$F67*$F$3*$F$8,Donnees!$D$4))</f>
        <v>6.0857267969823825</v>
      </c>
      <c r="J67" s="8">
        <f>1/(1-POWER(1-$F67*$F$3*$F$9,Donnees!$D$4))</f>
        <v>50.838970189131004</v>
      </c>
      <c r="K67" s="10">
        <f>1/(1-POWER(1-$F67*$F$4*$F$8,Donnees!$D$4))</f>
        <v>9.6771866564579643</v>
      </c>
      <c r="L67" s="10">
        <f>1/(1-POWER(1-$F67*$F$4*$F$9,Donnees!$D$4))</f>
        <v>83.214100215587194</v>
      </c>
      <c r="M67" s="12">
        <f>1/(1-POWER(1-$F67*$F$5*$F$8,Donnees!$D$4))</f>
        <v>18.865770363543039</v>
      </c>
      <c r="N67" s="12">
        <f>1/(1-POWER(1-$F67*$F$5*$F$9,Donnees!$D$4))</f>
        <v>165.95169288991335</v>
      </c>
      <c r="O67" s="6">
        <f>1/(1-POWER(1-$F67*$F$6*$F$8,Donnees!$D$4))</f>
        <v>55.635237848282955</v>
      </c>
      <c r="P67" s="6">
        <f>1/(1-POWER(1-$F67*$F$6*$F$9,Donnees!$D$4))</f>
        <v>496.90373888289122</v>
      </c>
      <c r="Q67" s="16">
        <f>1/(1-POWER(1-$F67*$F$7*$F$8,Donnees!$D$4))</f>
        <v>386.58632641271407</v>
      </c>
      <c r="R67" s="16">
        <f>1/(1-POWER(1-$F67*$F$7*$F$9,Donnees!$D$4))</f>
        <v>3475.4750239175241</v>
      </c>
    </row>
    <row r="68" spans="1:18" x14ac:dyDescent="0.25">
      <c r="A68" t="s">
        <v>47</v>
      </c>
      <c r="B68" t="s">
        <v>592</v>
      </c>
      <c r="C68" t="s">
        <v>593</v>
      </c>
      <c r="D68" t="s">
        <v>52</v>
      </c>
      <c r="E68" s="3">
        <f>VLOOKUP(D68,$A$13:$F$16,5,FALSE)*_xlfn.XLOOKUP(Resultats!C68,Table1[name],Table1[cardRarityMultiplier])</f>
        <v>0.02</v>
      </c>
      <c r="F68" s="3">
        <f t="shared" si="4"/>
        <v>1.9999999999999987E-2</v>
      </c>
      <c r="G68" s="3">
        <f>1-POWER(1-E68,Donnees!$D$4)</f>
        <v>0.33239202824490588</v>
      </c>
      <c r="H68" s="3">
        <f t="shared" si="5"/>
        <v>3.0084957370373568</v>
      </c>
      <c r="I68" s="8">
        <f>1/(1-POWER(1-$F68*$F$3*$F$8,Donnees!$D$4))</f>
        <v>6.0857267969823825</v>
      </c>
      <c r="J68" s="8">
        <f>1/(1-POWER(1-$F68*$F$3*$F$9,Donnees!$D$4))</f>
        <v>50.838970189131004</v>
      </c>
      <c r="K68" s="10">
        <f>1/(1-POWER(1-$F68*$F$4*$F$8,Donnees!$D$4))</f>
        <v>9.6771866564579643</v>
      </c>
      <c r="L68" s="10">
        <f>1/(1-POWER(1-$F68*$F$4*$F$9,Donnees!$D$4))</f>
        <v>83.214100215587194</v>
      </c>
      <c r="M68" s="12">
        <f>1/(1-POWER(1-$F68*$F$5*$F$8,Donnees!$D$4))</f>
        <v>18.865770363543039</v>
      </c>
      <c r="N68" s="12">
        <f>1/(1-POWER(1-$F68*$F$5*$F$9,Donnees!$D$4))</f>
        <v>165.95169288991335</v>
      </c>
      <c r="O68" s="6">
        <f>1/(1-POWER(1-$F68*$F$6*$F$8,Donnees!$D$4))</f>
        <v>55.635237848282955</v>
      </c>
      <c r="P68" s="6">
        <f>1/(1-POWER(1-$F68*$F$6*$F$9,Donnees!$D$4))</f>
        <v>496.90373888289122</v>
      </c>
      <c r="Q68" s="16">
        <f>1/(1-POWER(1-$F68*$F$7*$F$8,Donnees!$D$4))</f>
        <v>386.58632641271407</v>
      </c>
      <c r="R68" s="16">
        <f>1/(1-POWER(1-$F68*$F$7*$F$9,Donnees!$D$4))</f>
        <v>3475.4750239175241</v>
      </c>
    </row>
    <row r="69" spans="1:18" x14ac:dyDescent="0.25">
      <c r="A69" t="s">
        <v>47</v>
      </c>
      <c r="B69" t="s">
        <v>603</v>
      </c>
      <c r="C69" t="s">
        <v>503</v>
      </c>
      <c r="D69" t="s">
        <v>52</v>
      </c>
      <c r="E69" s="3">
        <f>VLOOKUP(D69,$A$13:$F$16,5,FALSE)*_xlfn.XLOOKUP(Resultats!C69,Table1[name],Table1[cardRarityMultiplier])</f>
        <v>0.02</v>
      </c>
      <c r="F69" s="3">
        <f t="shared" si="4"/>
        <v>1.9999999999999987E-2</v>
      </c>
      <c r="G69" s="3">
        <f>1-POWER(1-E69,Donnees!$D$4)</f>
        <v>0.33239202824490588</v>
      </c>
      <c r="H69" s="3">
        <f t="shared" si="5"/>
        <v>3.0084957370373568</v>
      </c>
      <c r="I69" s="8">
        <f>1/(1-POWER(1-$F69*$F$3*$F$8,Donnees!$D$4))</f>
        <v>6.0857267969823825</v>
      </c>
      <c r="J69" s="8">
        <f>1/(1-POWER(1-$F69*$F$3*$F$9,Donnees!$D$4))</f>
        <v>50.838970189131004</v>
      </c>
      <c r="K69" s="10">
        <f>1/(1-POWER(1-$F69*$F$4*$F$8,Donnees!$D$4))</f>
        <v>9.6771866564579643</v>
      </c>
      <c r="L69" s="10">
        <f>1/(1-POWER(1-$F69*$F$4*$F$9,Donnees!$D$4))</f>
        <v>83.214100215587194</v>
      </c>
      <c r="M69" s="12">
        <f>1/(1-POWER(1-$F69*$F$5*$F$8,Donnees!$D$4))</f>
        <v>18.865770363543039</v>
      </c>
      <c r="N69" s="12">
        <f>1/(1-POWER(1-$F69*$F$5*$F$9,Donnees!$D$4))</f>
        <v>165.95169288991335</v>
      </c>
      <c r="O69" s="6">
        <f>1/(1-POWER(1-$F69*$F$6*$F$8,Donnees!$D$4))</f>
        <v>55.635237848282955</v>
      </c>
      <c r="P69" s="6">
        <f>1/(1-POWER(1-$F69*$F$6*$F$9,Donnees!$D$4))</f>
        <v>496.90373888289122</v>
      </c>
      <c r="Q69" s="16">
        <f>1/(1-POWER(1-$F69*$F$7*$F$8,Donnees!$D$4))</f>
        <v>386.58632641271407</v>
      </c>
      <c r="R69" s="16">
        <f>1/(1-POWER(1-$F69*$F$7*$F$9,Donnees!$D$4))</f>
        <v>3475.4750239175241</v>
      </c>
    </row>
    <row r="70" spans="1:18" x14ac:dyDescent="0.25">
      <c r="E70" s="4">
        <f>SUM(E20:E69)</f>
        <v>1.0000000000000007</v>
      </c>
      <c r="F70" s="4">
        <f>SUM(F20:F69)</f>
        <v>0.99999999999999956</v>
      </c>
      <c r="G70" s="3"/>
      <c r="H70" s="3"/>
    </row>
    <row r="71" spans="1:18" x14ac:dyDescent="0.25">
      <c r="G71" s="15"/>
      <c r="H71" s="13">
        <v>30</v>
      </c>
      <c r="I71" s="14" cm="1">
        <f t="array" ref="I71">SUM((1-_xlfn._xlws.FILTER(1/I$20:I$69,(1/I$20:I$69)&lt;&gt;""))^($H71))</f>
        <v>0.2434613276379263</v>
      </c>
      <c r="J71" s="14" cm="1">
        <f t="array" ref="J71">SUM((1-_xlfn._xlws.FILTER(1/J$20:J$69,(1/J$20:J$69)&lt;&gt;""))^($H71))</f>
        <v>27.569539872237119</v>
      </c>
      <c r="K71" s="14" cm="1">
        <f t="array" ref="K71">SUM((1-_xlfn._xlws.FILTER(1/K$20:K$69,(1/K$20:K$69)&lt;&gt;""))^($H71))</f>
        <v>1.9369651090038544</v>
      </c>
      <c r="L71" s="14" cm="1">
        <f t="array" ref="L71">SUM((1-_xlfn._xlws.FILTER(1/L$20:L$69,(1/L$20:L$69)&lt;&gt;""))^($H71))</f>
        <v>34.798337938919637</v>
      </c>
      <c r="M71" s="14" cm="1">
        <f t="array" ref="M71">SUM((1-_xlfn._xlws.FILTER(1/M$20:M$69,(1/M$20:M$69)&lt;&gt;""))^($H71))</f>
        <v>9.8087689322632077</v>
      </c>
      <c r="N71" s="14" cm="1">
        <f t="array" ref="N71">SUM((1-_xlfn._xlws.FILTER(1/N$20:N$69,(1/N$20:N$69)&lt;&gt;""))^($H71))</f>
        <v>41.710876920863612</v>
      </c>
      <c r="O71" s="14" cm="1">
        <f t="array" ref="O71">SUM((1-_xlfn._xlws.FILTER(1/O$20:O$69,(1/O$20:O$69)&lt;&gt;""))^($H71))</f>
        <v>29.03341989239447</v>
      </c>
      <c r="P71" s="14" cm="1">
        <f t="array" ref="P71">SUM((1-_xlfn._xlws.FILTER(1/P$20:P$69,(1/P$20:P$69)&lt;&gt;""))^($H71))</f>
        <v>47.068081600348016</v>
      </c>
    </row>
    <row r="72" spans="1:18" x14ac:dyDescent="0.25">
      <c r="H72" s="13">
        <v>365</v>
      </c>
      <c r="I72" s="14" cm="1">
        <f t="array" ref="I72">SUM((1-_xlfn._xlws.FILTER(1/I$20:I$69,(1/I$20:I$69)&lt;&gt;""))^($H72))</f>
        <v>6.0746850639769249E-24</v>
      </c>
      <c r="J72" s="14" cm="1">
        <f t="array" ref="J72">SUM((1-_xlfn._xlws.FILTER(1/J$20:J$69,(1/J$20:J$69)&lt;&gt;""))^($H72))</f>
        <v>3.9711157108312689E-2</v>
      </c>
      <c r="K72" s="14" cm="1">
        <f t="array" ref="K72">SUM((1-_xlfn._xlws.FILTER(1/K$20:K$69,(1/K$20:K$69)&lt;&gt;""))^($H72))</f>
        <v>1.2521163371041199E-14</v>
      </c>
      <c r="L72" s="14" cm="1">
        <f t="array" ref="L72">SUM((1-_xlfn._xlws.FILTER(1/L$20:L$69,(1/L$20:L$69)&lt;&gt;""))^($H72))</f>
        <v>0.63046827505992153</v>
      </c>
      <c r="M72" s="14" cm="1">
        <f t="array" ref="M72">SUM((1-_xlfn._xlws.FILTER(1/M$20:M$69,(1/M$20:M$69)&lt;&gt;""))^($H72))</f>
        <v>3.2307203383089968E-7</v>
      </c>
      <c r="N72" s="14" cm="1">
        <f t="array" ref="N72">SUM((1-_xlfn._xlws.FILTER(1/N$20:N$69,(1/N$20:N$69)&lt;&gt;""))^($H72))</f>
        <v>5.5588260647850234</v>
      </c>
      <c r="O72" s="14" cm="1">
        <f t="array" ref="O72">SUM((1-_xlfn._xlws.FILTER(1/O$20:O$69,(1/O$20:O$69)&lt;&gt;""))^($H72))</f>
        <v>7.3148239691921149E-2</v>
      </c>
      <c r="P72" s="14" cm="1">
        <f t="array" ref="P72">SUM((1-_xlfn._xlws.FILTER(1/P$20:P$69,(1/P$20:P$69)&lt;&gt;""))^($H72))</f>
        <v>23.992810344773858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Catalogue</vt:lpstr>
      <vt:lpstr>Equipements</vt:lpstr>
      <vt:lpstr>Donnees</vt:lpstr>
      <vt:lpstr>Resultats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Derfence</cp:lastModifiedBy>
  <dcterms:modified xsi:type="dcterms:W3CDTF">2026-04-17T20:39:37Z</dcterms:modified>
</cp:coreProperties>
</file>