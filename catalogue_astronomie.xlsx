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rfence\Documents\Gatcha\client-android-standalone\"/>
    </mc:Choice>
  </mc:AlternateContent>
  <xr:revisionPtr revIDLastSave="0" documentId="13_ncr:1_{D1603081-F129-444F-9E04-C9AB8A503C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talogue" sheetId="1" r:id="rId1"/>
    <sheet name="Equipements" sheetId="4" r:id="rId2"/>
    <sheet name="Donnees" sheetId="2" r:id="rId3"/>
    <sheet name="Resultats" sheetId="3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E7" i="3" s="1"/>
  <c r="D14" i="3"/>
  <c r="D15" i="3"/>
  <c r="D16" i="3"/>
  <c r="E14" i="2"/>
  <c r="D13" i="3" s="1"/>
  <c r="D4" i="2"/>
  <c r="B12" i="2" s="1"/>
  <c r="E4" i="3"/>
  <c r="E5" i="3"/>
  <c r="E6" i="3"/>
  <c r="B14" i="3" a="1"/>
  <c r="B14" i="3" s="1"/>
  <c r="B15" i="3" a="1"/>
  <c r="B15" i="3" s="1"/>
  <c r="B16" i="3" a="1"/>
  <c r="B16" i="3" s="1"/>
  <c r="B13" i="3" a="1"/>
  <c r="B13" i="3" s="1"/>
  <c r="B6" i="2" l="1"/>
  <c r="E3" i="3" s="1"/>
  <c r="F6" i="3" s="1"/>
  <c r="E16" i="3"/>
  <c r="E15" i="3"/>
  <c r="E14" i="3"/>
  <c r="E13" i="3"/>
  <c r="B17" i="2"/>
  <c r="H17" i="2" s="1"/>
  <c r="B16" i="2"/>
  <c r="H16" i="2" s="1"/>
  <c r="B15" i="2"/>
  <c r="H15" i="2" s="1"/>
  <c r="B14" i="2"/>
  <c r="E9" i="3"/>
  <c r="E87" i="3" l="1"/>
  <c r="E71" i="3"/>
  <c r="E72" i="3"/>
  <c r="E79" i="3"/>
  <c r="E88" i="3"/>
  <c r="E112" i="3"/>
  <c r="E89" i="3"/>
  <c r="E73" i="3"/>
  <c r="E98" i="3"/>
  <c r="E90" i="3"/>
  <c r="E82" i="3"/>
  <c r="E74" i="3"/>
  <c r="E85" i="3"/>
  <c r="E99" i="3"/>
  <c r="E75" i="3"/>
  <c r="E91" i="3"/>
  <c r="E83" i="3"/>
  <c r="E100" i="3"/>
  <c r="E101" i="3"/>
  <c r="E102" i="3"/>
  <c r="E78" i="3"/>
  <c r="E86" i="3"/>
  <c r="E103" i="3"/>
  <c r="E95" i="3"/>
  <c r="E96" i="3"/>
  <c r="E80" i="3"/>
  <c r="E84" i="3"/>
  <c r="E113" i="3"/>
  <c r="E105" i="3"/>
  <c r="E81" i="3"/>
  <c r="E92" i="3"/>
  <c r="E114" i="3"/>
  <c r="E76" i="3"/>
  <c r="E93" i="3"/>
  <c r="E70" i="3"/>
  <c r="E94" i="3"/>
  <c r="E77" i="3"/>
  <c r="E111" i="3"/>
  <c r="E104" i="3"/>
  <c r="E97" i="3"/>
  <c r="E106" i="3"/>
  <c r="E115" i="3"/>
  <c r="E107" i="3"/>
  <c r="E108" i="3"/>
  <c r="E116" i="3"/>
  <c r="E110" i="3"/>
  <c r="E117" i="3"/>
  <c r="E109" i="3"/>
  <c r="F4" i="3"/>
  <c r="G4" i="3" s="1"/>
  <c r="H4" i="3" s="1"/>
  <c r="F7" i="3"/>
  <c r="F5" i="3"/>
  <c r="G5" i="3" s="1"/>
  <c r="H5" i="3" s="1"/>
  <c r="F3" i="3"/>
  <c r="G3" i="3" s="1"/>
  <c r="H3" i="3" s="1"/>
  <c r="B11" i="2"/>
  <c r="H14" i="2" s="1"/>
  <c r="G6" i="3"/>
  <c r="H6" i="3" s="1"/>
  <c r="G114" i="3" l="1"/>
  <c r="H114" i="3" s="1"/>
  <c r="G91" i="3"/>
  <c r="H91" i="3" s="1"/>
  <c r="G117" i="3"/>
  <c r="H117" i="3" s="1"/>
  <c r="G92" i="3"/>
  <c r="H92" i="3" s="1"/>
  <c r="G75" i="3"/>
  <c r="H75" i="3" s="1"/>
  <c r="G110" i="3"/>
  <c r="H110" i="3" s="1"/>
  <c r="G81" i="3"/>
  <c r="H81" i="3" s="1"/>
  <c r="G99" i="3"/>
  <c r="H99" i="3" s="1"/>
  <c r="G105" i="3"/>
  <c r="H105" i="3" s="1"/>
  <c r="G85" i="3"/>
  <c r="H85" i="3" s="1"/>
  <c r="G109" i="3"/>
  <c r="H109" i="3" s="1"/>
  <c r="G113" i="3"/>
  <c r="H113" i="3" s="1"/>
  <c r="G74" i="3"/>
  <c r="H74" i="3" s="1"/>
  <c r="G107" i="3"/>
  <c r="H107" i="3" s="1"/>
  <c r="G84" i="3"/>
  <c r="H84" i="3" s="1"/>
  <c r="G82" i="3"/>
  <c r="H82" i="3" s="1"/>
  <c r="G115" i="3"/>
  <c r="H115" i="3" s="1"/>
  <c r="G80" i="3"/>
  <c r="H80" i="3" s="1"/>
  <c r="G90" i="3"/>
  <c r="H90" i="3" s="1"/>
  <c r="G106" i="3"/>
  <c r="H106" i="3" s="1"/>
  <c r="G96" i="3"/>
  <c r="H96" i="3" s="1"/>
  <c r="G98" i="3"/>
  <c r="H98" i="3" s="1"/>
  <c r="G97" i="3"/>
  <c r="H97" i="3" s="1"/>
  <c r="G95" i="3"/>
  <c r="H95" i="3" s="1"/>
  <c r="G73" i="3"/>
  <c r="H73" i="3" s="1"/>
  <c r="G104" i="3"/>
  <c r="H104" i="3" s="1"/>
  <c r="G103" i="3"/>
  <c r="H103" i="3" s="1"/>
  <c r="G89" i="3"/>
  <c r="H89" i="3" s="1"/>
  <c r="G111" i="3"/>
  <c r="H111" i="3" s="1"/>
  <c r="G86" i="3"/>
  <c r="H86" i="3" s="1"/>
  <c r="G112" i="3"/>
  <c r="H112" i="3" s="1"/>
  <c r="G77" i="3"/>
  <c r="H77" i="3" s="1"/>
  <c r="G78" i="3"/>
  <c r="H78" i="3" s="1"/>
  <c r="G88" i="3"/>
  <c r="H88" i="3" s="1"/>
  <c r="G116" i="3"/>
  <c r="H116" i="3" s="1"/>
  <c r="G102" i="3"/>
  <c r="H102" i="3" s="1"/>
  <c r="G79" i="3"/>
  <c r="H79" i="3" s="1"/>
  <c r="G70" i="3"/>
  <c r="H70" i="3" s="1"/>
  <c r="G101" i="3"/>
  <c r="H101" i="3" s="1"/>
  <c r="G72" i="3"/>
  <c r="H72" i="3" s="1"/>
  <c r="G94" i="3"/>
  <c r="H94" i="3" s="1"/>
  <c r="G93" i="3"/>
  <c r="H93" i="3" s="1"/>
  <c r="G100" i="3"/>
  <c r="H100" i="3" s="1"/>
  <c r="G71" i="3"/>
  <c r="H71" i="3" s="1"/>
  <c r="G108" i="3"/>
  <c r="H108" i="3" s="1"/>
  <c r="G76" i="3"/>
  <c r="H76" i="3" s="1"/>
  <c r="G83" i="3"/>
  <c r="H83" i="3" s="1"/>
  <c r="G87" i="3"/>
  <c r="H87" i="3" s="1"/>
  <c r="G7" i="3"/>
  <c r="H7" i="3" s="1"/>
  <c r="E8" i="3"/>
  <c r="C16" i="3" a="1"/>
  <c r="C16" i="3" s="1"/>
  <c r="C15" i="3" a="1"/>
  <c r="C15" i="3" s="1"/>
  <c r="C14" i="3" l="1" a="1"/>
  <c r="C14" i="3" s="1"/>
  <c r="F8" i="3"/>
  <c r="F9" i="3"/>
  <c r="C13" i="3" a="1"/>
  <c r="C13" i="3" s="1"/>
  <c r="G9" i="3" l="1"/>
  <c r="H9" i="3" s="1"/>
  <c r="G8" i="3"/>
  <c r="H8" i="3" s="1"/>
  <c r="F13" i="3"/>
  <c r="F14" i="3" l="1"/>
  <c r="F15" i="3"/>
  <c r="F16" i="3"/>
  <c r="E63" i="3"/>
  <c r="E60" i="3"/>
  <c r="G60" i="3" s="1"/>
  <c r="E50" i="3"/>
  <c r="G50" i="3" s="1"/>
  <c r="E21" i="3"/>
  <c r="G21" i="3" s="1"/>
  <c r="E44" i="3"/>
  <c r="G44" i="3" s="1"/>
  <c r="E37" i="3"/>
  <c r="G37" i="3" s="1"/>
  <c r="E66" i="3"/>
  <c r="G66" i="3" s="1"/>
  <c r="E34" i="3"/>
  <c r="G34" i="3" s="1"/>
  <c r="E67" i="3"/>
  <c r="G67" i="3" s="1"/>
  <c r="E52" i="3"/>
  <c r="G52" i="3" s="1"/>
  <c r="E53" i="3"/>
  <c r="G53" i="3" s="1"/>
  <c r="E32" i="3"/>
  <c r="G32" i="3" s="1"/>
  <c r="E20" i="3"/>
  <c r="E27" i="3"/>
  <c r="G27" i="3" s="1"/>
  <c r="E29" i="3"/>
  <c r="G29" i="3" s="1"/>
  <c r="E45" i="3"/>
  <c r="G45" i="3" s="1"/>
  <c r="E69" i="3"/>
  <c r="G69" i="3" s="1"/>
  <c r="E68" i="3"/>
  <c r="G68" i="3" s="1"/>
  <c r="E33" i="3"/>
  <c r="G33" i="3" s="1"/>
  <c r="E23" i="3"/>
  <c r="G23" i="3" s="1"/>
  <c r="E39" i="3"/>
  <c r="G39" i="3" s="1"/>
  <c r="E62" i="3"/>
  <c r="G62" i="3" s="1"/>
  <c r="E54" i="3"/>
  <c r="G54" i="3" s="1"/>
  <c r="E24" i="3"/>
  <c r="G24" i="3" s="1"/>
  <c r="E51" i="3"/>
  <c r="G51" i="3" s="1"/>
  <c r="E65" i="3"/>
  <c r="G65" i="3" s="1"/>
  <c r="E25" i="3"/>
  <c r="G25" i="3" s="1"/>
  <c r="E28" i="3"/>
  <c r="G28" i="3" s="1"/>
  <c r="E64" i="3"/>
  <c r="G64" i="3" s="1"/>
  <c r="E47" i="3"/>
  <c r="G47" i="3" s="1"/>
  <c r="G20" i="3" l="1"/>
  <c r="E36" i="3"/>
  <c r="G36" i="3" s="1"/>
  <c r="H36" i="3" s="1"/>
  <c r="E43" i="3"/>
  <c r="G43" i="3" s="1"/>
  <c r="H43" i="3" s="1"/>
  <c r="E31" i="3"/>
  <c r="G31" i="3" s="1"/>
  <c r="H31" i="3" s="1"/>
  <c r="E42" i="3"/>
  <c r="G42" i="3" s="1"/>
  <c r="H42" i="3" s="1"/>
  <c r="E26" i="3"/>
  <c r="G26" i="3" s="1"/>
  <c r="H26" i="3" s="1"/>
  <c r="E56" i="3"/>
  <c r="G56" i="3" s="1"/>
  <c r="H56" i="3" s="1"/>
  <c r="E61" i="3"/>
  <c r="G61" i="3" s="1"/>
  <c r="H61" i="3" s="1"/>
  <c r="E59" i="3"/>
  <c r="G59" i="3" s="1"/>
  <c r="H59" i="3" s="1"/>
  <c r="E48" i="3"/>
  <c r="G48" i="3" s="1"/>
  <c r="H48" i="3" s="1"/>
  <c r="E41" i="3"/>
  <c r="G41" i="3" s="1"/>
  <c r="H41" i="3" s="1"/>
  <c r="E30" i="3"/>
  <c r="G30" i="3" s="1"/>
  <c r="H30" i="3" s="1"/>
  <c r="E58" i="3"/>
  <c r="G58" i="3" s="1"/>
  <c r="H58" i="3" s="1"/>
  <c r="E46" i="3"/>
  <c r="G46" i="3" s="1"/>
  <c r="H46" i="3" s="1"/>
  <c r="E40" i="3"/>
  <c r="G40" i="3" s="1"/>
  <c r="H40" i="3" s="1"/>
  <c r="E55" i="3"/>
  <c r="G55" i="3" s="1"/>
  <c r="H55" i="3" s="1"/>
  <c r="E38" i="3"/>
  <c r="G38" i="3" s="1"/>
  <c r="H38" i="3" s="1"/>
  <c r="E49" i="3"/>
  <c r="G49" i="3" s="1"/>
  <c r="H49" i="3" s="1"/>
  <c r="E57" i="3"/>
  <c r="G57" i="3" s="1"/>
  <c r="H57" i="3" s="1"/>
  <c r="E22" i="3"/>
  <c r="G22" i="3" s="1"/>
  <c r="H22" i="3" s="1"/>
  <c r="E35" i="3"/>
  <c r="G35" i="3" s="1"/>
  <c r="H35" i="3" s="1"/>
  <c r="G63" i="3"/>
  <c r="H63" i="3" s="1"/>
  <c r="H28" i="3"/>
  <c r="H20" i="3"/>
  <c r="H44" i="3"/>
  <c r="H25" i="3"/>
  <c r="H67" i="3"/>
  <c r="H50" i="3"/>
  <c r="H37" i="3"/>
  <c r="H52" i="3"/>
  <c r="H60" i="3"/>
  <c r="H51" i="3"/>
  <c r="H39" i="3"/>
  <c r="H23" i="3"/>
  <c r="H33" i="3"/>
  <c r="H66" i="3"/>
  <c r="H65" i="3"/>
  <c r="H62" i="3"/>
  <c r="H69" i="3"/>
  <c r="H53" i="3"/>
  <c r="H34" i="3"/>
  <c r="H45" i="3"/>
  <c r="H21" i="3"/>
  <c r="H24" i="3"/>
  <c r="H47" i="3"/>
  <c r="H29" i="3"/>
  <c r="H32" i="3"/>
  <c r="H54" i="3"/>
  <c r="H68" i="3"/>
  <c r="H64" i="3"/>
  <c r="H27" i="3"/>
  <c r="E118" i="3" l="1"/>
  <c r="F63" i="3" s="1"/>
  <c r="F55" i="3" l="1"/>
  <c r="F50" i="3"/>
  <c r="F44" i="3"/>
  <c r="F24" i="3"/>
  <c r="Q24" i="3" s="1"/>
  <c r="F20" i="3"/>
  <c r="Q20" i="3" s="1"/>
  <c r="F38" i="3"/>
  <c r="I38" i="3" s="1"/>
  <c r="F33" i="3"/>
  <c r="M33" i="3" s="1"/>
  <c r="F45" i="3"/>
  <c r="N45" i="3" s="1"/>
  <c r="F54" i="3"/>
  <c r="Q54" i="3" s="1"/>
  <c r="F49" i="3"/>
  <c r="R49" i="3" s="1"/>
  <c r="F36" i="3"/>
  <c r="R36" i="3" s="1"/>
  <c r="F57" i="3"/>
  <c r="K57" i="3" s="1"/>
  <c r="F62" i="3"/>
  <c r="O62" i="3" s="1"/>
  <c r="F23" i="3"/>
  <c r="Q23" i="3" s="1"/>
  <c r="F65" i="3"/>
  <c r="R65" i="3" s="1"/>
  <c r="F41" i="3"/>
  <c r="R41" i="3" s="1"/>
  <c r="F66" i="3"/>
  <c r="F22" i="3"/>
  <c r="J22" i="3" s="1"/>
  <c r="F61" i="3"/>
  <c r="F77" i="3"/>
  <c r="R77" i="3" s="1"/>
  <c r="F70" i="3"/>
  <c r="R70" i="3" s="1"/>
  <c r="F95" i="3"/>
  <c r="K95" i="3" s="1"/>
  <c r="F59" i="3"/>
  <c r="J59" i="3" s="1"/>
  <c r="F89" i="3"/>
  <c r="P89" i="3" s="1"/>
  <c r="F47" i="3"/>
  <c r="R47" i="3" s="1"/>
  <c r="F39" i="3"/>
  <c r="R39" i="3" s="1"/>
  <c r="F84" i="3"/>
  <c r="M84" i="3" s="1"/>
  <c r="F42" i="3"/>
  <c r="N42" i="3" s="1"/>
  <c r="F51" i="3"/>
  <c r="Q51" i="3" s="1"/>
  <c r="F76" i="3"/>
  <c r="O76" i="3" s="1"/>
  <c r="F52" i="3"/>
  <c r="P52" i="3" s="1"/>
  <c r="F43" i="3"/>
  <c r="K43" i="3" s="1"/>
  <c r="F48" i="3"/>
  <c r="J48" i="3" s="1"/>
  <c r="F25" i="3"/>
  <c r="F28" i="3"/>
  <c r="Q28" i="3" s="1"/>
  <c r="F68" i="3"/>
  <c r="Q68" i="3" s="1"/>
  <c r="F106" i="3"/>
  <c r="L106" i="3" s="1"/>
  <c r="F92" i="3"/>
  <c r="P92" i="3" s="1"/>
  <c r="F96" i="3"/>
  <c r="M96" i="3" s="1"/>
  <c r="F71" i="3"/>
  <c r="K71" i="3" s="1"/>
  <c r="F117" i="3"/>
  <c r="K117" i="3" s="1"/>
  <c r="F81" i="3"/>
  <c r="O81" i="3" s="1"/>
  <c r="F35" i="3"/>
  <c r="M35" i="3" s="1"/>
  <c r="F60" i="3"/>
  <c r="R60" i="3" s="1"/>
  <c r="F21" i="3"/>
  <c r="R21" i="3" s="1"/>
  <c r="F82" i="3"/>
  <c r="L82" i="3" s="1"/>
  <c r="F58" i="3"/>
  <c r="Q58" i="3" s="1"/>
  <c r="F64" i="3"/>
  <c r="R64" i="3" s="1"/>
  <c r="F99" i="3"/>
  <c r="P99" i="3" s="1"/>
  <c r="F103" i="3"/>
  <c r="P103" i="3" s="1"/>
  <c r="F29" i="3"/>
  <c r="Q29" i="3" s="1"/>
  <c r="F31" i="3"/>
  <c r="Q31" i="3" s="1"/>
  <c r="F104" i="3"/>
  <c r="M104" i="3" s="1"/>
  <c r="F26" i="3"/>
  <c r="R26" i="3" s="1"/>
  <c r="F46" i="3"/>
  <c r="R46" i="3" s="1"/>
  <c r="F74" i="3"/>
  <c r="L74" i="3" s="1"/>
  <c r="F85" i="3"/>
  <c r="R85" i="3" s="1"/>
  <c r="F75" i="3"/>
  <c r="M75" i="3" s="1"/>
  <c r="F91" i="3"/>
  <c r="K91" i="3" s="1"/>
  <c r="F94" i="3"/>
  <c r="I94" i="3" s="1"/>
  <c r="F78" i="3"/>
  <c r="N78" i="3" s="1"/>
  <c r="F111" i="3"/>
  <c r="L111" i="3" s="1"/>
  <c r="F56" i="3"/>
  <c r="O56" i="3" s="1"/>
  <c r="F32" i="3"/>
  <c r="I32" i="3" s="1"/>
  <c r="F83" i="3"/>
  <c r="M83" i="3" s="1"/>
  <c r="F69" i="3"/>
  <c r="R69" i="3" s="1"/>
  <c r="F30" i="3"/>
  <c r="R30" i="3" s="1"/>
  <c r="F34" i="3"/>
  <c r="J34" i="3" s="1"/>
  <c r="F112" i="3"/>
  <c r="P112" i="3" s="1"/>
  <c r="F73" i="3"/>
  <c r="J73" i="3" s="1"/>
  <c r="F114" i="3"/>
  <c r="I114" i="3" s="1"/>
  <c r="F115" i="3"/>
  <c r="N115" i="3" s="1"/>
  <c r="F102" i="3"/>
  <c r="O102" i="3" s="1"/>
  <c r="F105" i="3"/>
  <c r="I105" i="3" s="1"/>
  <c r="F72" i="3"/>
  <c r="M72" i="3" s="1"/>
  <c r="F113" i="3"/>
  <c r="O113" i="3" s="1"/>
  <c r="F87" i="3"/>
  <c r="N87" i="3" s="1"/>
  <c r="F108" i="3"/>
  <c r="J108" i="3" s="1"/>
  <c r="F101" i="3"/>
  <c r="L101" i="3" s="1"/>
  <c r="F86" i="3"/>
  <c r="N86" i="3" s="1"/>
  <c r="F90" i="3"/>
  <c r="L90" i="3" s="1"/>
  <c r="F110" i="3"/>
  <c r="P110" i="3" s="1"/>
  <c r="F109" i="3"/>
  <c r="P109" i="3" s="1"/>
  <c r="F79" i="3"/>
  <c r="N79" i="3" s="1"/>
  <c r="F100" i="3"/>
  <c r="P100" i="3" s="1"/>
  <c r="F98" i="3"/>
  <c r="Q98" i="3" s="1"/>
  <c r="F97" i="3"/>
  <c r="N97" i="3" s="1"/>
  <c r="F116" i="3"/>
  <c r="P116" i="3" s="1"/>
  <c r="M22" i="3"/>
  <c r="F67" i="3"/>
  <c r="R67" i="3" s="1"/>
  <c r="F27" i="3"/>
  <c r="J27" i="3" s="1"/>
  <c r="I22" i="3"/>
  <c r="F37" i="3"/>
  <c r="J37" i="3" s="1"/>
  <c r="F40" i="3"/>
  <c r="P40" i="3" s="1"/>
  <c r="F53" i="3"/>
  <c r="N53" i="3" s="1"/>
  <c r="F107" i="3"/>
  <c r="M107" i="3" s="1"/>
  <c r="F88" i="3"/>
  <c r="K88" i="3" s="1"/>
  <c r="F93" i="3"/>
  <c r="P93" i="3" s="1"/>
  <c r="N63" i="3"/>
  <c r="P63" i="3"/>
  <c r="L63" i="3"/>
  <c r="R63" i="3"/>
  <c r="Q63" i="3"/>
  <c r="I63" i="3"/>
  <c r="K63" i="3"/>
  <c r="O63" i="3"/>
  <c r="J63" i="3"/>
  <c r="M63" i="3"/>
  <c r="F80" i="3"/>
  <c r="I80" i="3" s="1"/>
  <c r="N22" i="3"/>
  <c r="M99" i="3"/>
  <c r="L99" i="3"/>
  <c r="K99" i="3"/>
  <c r="J99" i="3"/>
  <c r="I99" i="3"/>
  <c r="R106" i="3"/>
  <c r="Q106" i="3"/>
  <c r="P106" i="3"/>
  <c r="O106" i="3"/>
  <c r="N106" i="3"/>
  <c r="M106" i="3"/>
  <c r="M92" i="3"/>
  <c r="N92" i="3"/>
  <c r="R92" i="3"/>
  <c r="R24" i="3"/>
  <c r="R66" i="3"/>
  <c r="Q66" i="3"/>
  <c r="Q48" i="3"/>
  <c r="R48" i="3"/>
  <c r="L22" i="3"/>
  <c r="Q22" i="3"/>
  <c r="R22" i="3"/>
  <c r="Q50" i="3"/>
  <c r="R50" i="3"/>
  <c r="R38" i="3"/>
  <c r="Q25" i="3"/>
  <c r="R25" i="3"/>
  <c r="Q44" i="3"/>
  <c r="R44" i="3"/>
  <c r="Q61" i="3"/>
  <c r="R61" i="3"/>
  <c r="Q55" i="3"/>
  <c r="R55" i="3"/>
  <c r="J66" i="3"/>
  <c r="J25" i="3"/>
  <c r="M44" i="3"/>
  <c r="K50" i="3"/>
  <c r="O68" i="3"/>
  <c r="J28" i="3"/>
  <c r="I61" i="3"/>
  <c r="K24" i="3"/>
  <c r="P22" i="3"/>
  <c r="O69" i="3"/>
  <c r="P28" i="3"/>
  <c r="K22" i="3"/>
  <c r="I55" i="3"/>
  <c r="P50" i="3"/>
  <c r="M69" i="3"/>
  <c r="I20" i="3"/>
  <c r="P69" i="3"/>
  <c r="O50" i="3"/>
  <c r="L69" i="3"/>
  <c r="L50" i="3"/>
  <c r="J50" i="3"/>
  <c r="I50" i="3"/>
  <c r="M50" i="3"/>
  <c r="N50" i="3"/>
  <c r="K69" i="3"/>
  <c r="J69" i="3"/>
  <c r="O24" i="3"/>
  <c r="I48" i="3"/>
  <c r="I66" i="3"/>
  <c r="M24" i="3"/>
  <c r="J24" i="3"/>
  <c r="P48" i="3"/>
  <c r="P24" i="3"/>
  <c r="N48" i="3"/>
  <c r="O48" i="3"/>
  <c r="L48" i="3"/>
  <c r="O44" i="3"/>
  <c r="N44" i="3"/>
  <c r="I24" i="3"/>
  <c r="K66" i="3"/>
  <c r="L44" i="3"/>
  <c r="P61" i="3"/>
  <c r="O61" i="3"/>
  <c r="J44" i="3"/>
  <c r="N61" i="3"/>
  <c r="I44" i="3"/>
  <c r="L24" i="3"/>
  <c r="M61" i="3"/>
  <c r="N29" i="3"/>
  <c r="M68" i="3"/>
  <c r="P55" i="3"/>
  <c r="P44" i="3"/>
  <c r="L61" i="3"/>
  <c r="K61" i="3"/>
  <c r="O55" i="3"/>
  <c r="N66" i="3"/>
  <c r="K48" i="3"/>
  <c r="N24" i="3"/>
  <c r="M66" i="3"/>
  <c r="J61" i="3"/>
  <c r="N55" i="3"/>
  <c r="P66" i="3"/>
  <c r="L55" i="3"/>
  <c r="L29" i="3"/>
  <c r="K44" i="3"/>
  <c r="P68" i="3"/>
  <c r="O66" i="3"/>
  <c r="I25" i="3"/>
  <c r="J68" i="3"/>
  <c r="K55" i="3"/>
  <c r="J33" i="3"/>
  <c r="J55" i="3"/>
  <c r="I68" i="3"/>
  <c r="L66" i="3"/>
  <c r="K33" i="3"/>
  <c r="I45" i="3"/>
  <c r="L68" i="3"/>
  <c r="N68" i="3"/>
  <c r="M55" i="3"/>
  <c r="K68" i="3"/>
  <c r="P25" i="3"/>
  <c r="O25" i="3"/>
  <c r="K28" i="3"/>
  <c r="N59" i="3"/>
  <c r="N38" i="3"/>
  <c r="N25" i="3"/>
  <c r="I33" i="3"/>
  <c r="L28" i="3"/>
  <c r="M25" i="3"/>
  <c r="O28" i="3"/>
  <c r="I28" i="3"/>
  <c r="O38" i="3"/>
  <c r="L25" i="3"/>
  <c r="N33" i="3"/>
  <c r="L38" i="3"/>
  <c r="M28" i="3"/>
  <c r="K38" i="3"/>
  <c r="K25" i="3"/>
  <c r="N28" i="3"/>
  <c r="P38" i="3" l="1"/>
  <c r="J106" i="3"/>
  <c r="N20" i="3"/>
  <c r="O20" i="3"/>
  <c r="M20" i="3"/>
  <c r="K45" i="3"/>
  <c r="J38" i="3"/>
  <c r="L59" i="3"/>
  <c r="I106" i="3"/>
  <c r="K106" i="3"/>
  <c r="L54" i="3"/>
  <c r="L20" i="3"/>
  <c r="M38" i="3"/>
  <c r="P54" i="3"/>
  <c r="J20" i="3"/>
  <c r="K20" i="3"/>
  <c r="P20" i="3"/>
  <c r="O33" i="3"/>
  <c r="M45" i="3"/>
  <c r="R20" i="3"/>
  <c r="R28" i="3"/>
  <c r="J54" i="3"/>
  <c r="M54" i="3"/>
  <c r="O59" i="3"/>
  <c r="N54" i="3"/>
  <c r="O39" i="3"/>
  <c r="P33" i="3"/>
  <c r="I59" i="3"/>
  <c r="P59" i="3"/>
  <c r="M59" i="3"/>
  <c r="K59" i="3"/>
  <c r="L33" i="3"/>
  <c r="J70" i="3"/>
  <c r="L70" i="3"/>
  <c r="Q38" i="3"/>
  <c r="I70" i="3"/>
  <c r="I96" i="3"/>
  <c r="O96" i="3"/>
  <c r="I95" i="3"/>
  <c r="M95" i="3"/>
  <c r="I47" i="3"/>
  <c r="N95" i="3"/>
  <c r="O95" i="3"/>
  <c r="O45" i="3"/>
  <c r="I77" i="3"/>
  <c r="Q95" i="3"/>
  <c r="J77" i="3"/>
  <c r="M39" i="3"/>
  <c r="R95" i="3"/>
  <c r="K77" i="3"/>
  <c r="K39" i="3"/>
  <c r="I54" i="3"/>
  <c r="J45" i="3"/>
  <c r="L77" i="3"/>
  <c r="I35" i="3"/>
  <c r="R45" i="3"/>
  <c r="O54" i="3"/>
  <c r="P45" i="3"/>
  <c r="Q33" i="3"/>
  <c r="J39" i="3"/>
  <c r="Q47" i="3"/>
  <c r="O49" i="3"/>
  <c r="N47" i="3"/>
  <c r="L117" i="3"/>
  <c r="K89" i="3"/>
  <c r="O47" i="3"/>
  <c r="J49" i="3"/>
  <c r="P47" i="3"/>
  <c r="R89" i="3"/>
  <c r="M77" i="3"/>
  <c r="K81" i="3"/>
  <c r="I36" i="3"/>
  <c r="O89" i="3"/>
  <c r="R54" i="3"/>
  <c r="P36" i="3"/>
  <c r="K36" i="3"/>
  <c r="N49" i="3"/>
  <c r="K70" i="3"/>
  <c r="N77" i="3"/>
  <c r="K21" i="3"/>
  <c r="L45" i="3"/>
  <c r="N70" i="3"/>
  <c r="P77" i="3"/>
  <c r="K42" i="3"/>
  <c r="O70" i="3"/>
  <c r="J62" i="3"/>
  <c r="L36" i="3"/>
  <c r="M36" i="3"/>
  <c r="J35" i="3"/>
  <c r="O36" i="3"/>
  <c r="P35" i="3"/>
  <c r="O21" i="3"/>
  <c r="P70" i="3"/>
  <c r="O77" i="3"/>
  <c r="J57" i="3"/>
  <c r="M21" i="3"/>
  <c r="O67" i="3"/>
  <c r="K35" i="3"/>
  <c r="M57" i="3"/>
  <c r="J47" i="3"/>
  <c r="M47" i="3"/>
  <c r="R42" i="3"/>
  <c r="Q42" i="3"/>
  <c r="L35" i="3"/>
  <c r="Q49" i="3"/>
  <c r="I62" i="3"/>
  <c r="Q45" i="3"/>
  <c r="Q70" i="3"/>
  <c r="J60" i="3"/>
  <c r="M117" i="3"/>
  <c r="J96" i="3"/>
  <c r="N117" i="3"/>
  <c r="L96" i="3"/>
  <c r="N62" i="3"/>
  <c r="K51" i="3"/>
  <c r="R68" i="3"/>
  <c r="O117" i="3"/>
  <c r="N96" i="3"/>
  <c r="Q77" i="3"/>
  <c r="M81" i="3"/>
  <c r="P62" i="3"/>
  <c r="M42" i="3"/>
  <c r="O60" i="3"/>
  <c r="P96" i="3"/>
  <c r="I89" i="3"/>
  <c r="Q96" i="3"/>
  <c r="O42" i="3"/>
  <c r="P39" i="3"/>
  <c r="L39" i="3"/>
  <c r="L49" i="3"/>
  <c r="K49" i="3"/>
  <c r="L42" i="3"/>
  <c r="K54" i="3"/>
  <c r="R33" i="3"/>
  <c r="Q36" i="3"/>
  <c r="J89" i="3"/>
  <c r="R96" i="3"/>
  <c r="M62" i="3"/>
  <c r="I57" i="3"/>
  <c r="L21" i="3"/>
  <c r="R59" i="3"/>
  <c r="J95" i="3"/>
  <c r="N21" i="3"/>
  <c r="O51" i="3"/>
  <c r="I39" i="3"/>
  <c r="L62" i="3"/>
  <c r="L51" i="3"/>
  <c r="L57" i="3"/>
  <c r="P49" i="3"/>
  <c r="M26" i="3"/>
  <c r="I67" i="3"/>
  <c r="R58" i="3"/>
  <c r="Q59" i="3"/>
  <c r="M70" i="3"/>
  <c r="L95" i="3"/>
  <c r="Q92" i="3"/>
  <c r="Q57" i="3"/>
  <c r="I51" i="3"/>
  <c r="R35" i="3"/>
  <c r="P117" i="3"/>
  <c r="P57" i="3"/>
  <c r="R62" i="3"/>
  <c r="Q117" i="3"/>
  <c r="I23" i="3"/>
  <c r="P21" i="3"/>
  <c r="N36" i="3"/>
  <c r="Q62" i="3"/>
  <c r="Q39" i="3"/>
  <c r="R117" i="3"/>
  <c r="I92" i="3"/>
  <c r="N51" i="3"/>
  <c r="N57" i="3"/>
  <c r="J36" i="3"/>
  <c r="M51" i="3"/>
  <c r="O57" i="3"/>
  <c r="K62" i="3"/>
  <c r="N35" i="3"/>
  <c r="M49" i="3"/>
  <c r="L47" i="3"/>
  <c r="O35" i="3"/>
  <c r="R75" i="3"/>
  <c r="P95" i="3"/>
  <c r="J92" i="3"/>
  <c r="O22" i="3"/>
  <c r="J21" i="3"/>
  <c r="L81" i="3"/>
  <c r="N81" i="3"/>
  <c r="P84" i="3"/>
  <c r="P97" i="3"/>
  <c r="M60" i="3"/>
  <c r="Q97" i="3"/>
  <c r="K92" i="3"/>
  <c r="K23" i="3"/>
  <c r="N39" i="3"/>
  <c r="K47" i="3"/>
  <c r="Q35" i="3"/>
  <c r="R57" i="3"/>
  <c r="I117" i="3"/>
  <c r="M89" i="3"/>
  <c r="K96" i="3"/>
  <c r="L92" i="3"/>
  <c r="O108" i="3"/>
  <c r="P108" i="3"/>
  <c r="M23" i="3"/>
  <c r="M82" i="3"/>
  <c r="I82" i="3"/>
  <c r="Q21" i="3"/>
  <c r="L37" i="3"/>
  <c r="L56" i="3"/>
  <c r="J105" i="3"/>
  <c r="I75" i="3"/>
  <c r="O23" i="3"/>
  <c r="I21" i="3"/>
  <c r="R113" i="3"/>
  <c r="O32" i="3"/>
  <c r="K37" i="3"/>
  <c r="I60" i="3"/>
  <c r="R51" i="3"/>
  <c r="I113" i="3"/>
  <c r="O92" i="3"/>
  <c r="L23" i="3"/>
  <c r="J42" i="3"/>
  <c r="O37" i="3"/>
  <c r="P23" i="3"/>
  <c r="I49" i="3"/>
  <c r="J113" i="3"/>
  <c r="M52" i="3"/>
  <c r="J23" i="3"/>
  <c r="P81" i="3"/>
  <c r="L60" i="3"/>
  <c r="J51" i="3"/>
  <c r="I81" i="3"/>
  <c r="J81" i="3"/>
  <c r="Q41" i="3"/>
  <c r="M87" i="3"/>
  <c r="N23" i="3"/>
  <c r="P60" i="3"/>
  <c r="I42" i="3"/>
  <c r="O75" i="3"/>
  <c r="L89" i="3"/>
  <c r="I71" i="3"/>
  <c r="P51" i="3"/>
  <c r="N52" i="3"/>
  <c r="M56" i="3"/>
  <c r="Q75" i="3"/>
  <c r="N89" i="3"/>
  <c r="J71" i="3"/>
  <c r="N37" i="3"/>
  <c r="P42" i="3"/>
  <c r="N56" i="3"/>
  <c r="Q60" i="3"/>
  <c r="P75" i="3"/>
  <c r="Q89" i="3"/>
  <c r="O84" i="3"/>
  <c r="M71" i="3"/>
  <c r="P65" i="3"/>
  <c r="J41" i="3"/>
  <c r="P41" i="3"/>
  <c r="M43" i="3"/>
  <c r="K64" i="3"/>
  <c r="N32" i="3"/>
  <c r="K56" i="3"/>
  <c r="K58" i="3"/>
  <c r="M32" i="3"/>
  <c r="Q52" i="3"/>
  <c r="L52" i="3"/>
  <c r="N41" i="3"/>
  <c r="J65" i="3"/>
  <c r="R52" i="3"/>
  <c r="K87" i="3"/>
  <c r="Q87" i="3"/>
  <c r="M64" i="3"/>
  <c r="L64" i="3"/>
  <c r="I58" i="3"/>
  <c r="N43" i="3"/>
  <c r="R87" i="3"/>
  <c r="Q43" i="3"/>
  <c r="O64" i="3"/>
  <c r="I43" i="3"/>
  <c r="P43" i="3"/>
  <c r="L65" i="3"/>
  <c r="K65" i="3"/>
  <c r="J52" i="3"/>
  <c r="J64" i="3"/>
  <c r="Q65" i="3"/>
  <c r="J80" i="3"/>
  <c r="K94" i="3"/>
  <c r="L32" i="3"/>
  <c r="L41" i="3"/>
  <c r="J32" i="3"/>
  <c r="N40" i="3"/>
  <c r="J75" i="3"/>
  <c r="L94" i="3"/>
  <c r="M65" i="3"/>
  <c r="O65" i="3"/>
  <c r="P64" i="3"/>
  <c r="J43" i="3"/>
  <c r="N75" i="3"/>
  <c r="M94" i="3"/>
  <c r="L71" i="3"/>
  <c r="O52" i="3"/>
  <c r="I65" i="3"/>
  <c r="O58" i="3"/>
  <c r="I37" i="3"/>
  <c r="Q64" i="3"/>
  <c r="M113" i="3"/>
  <c r="N94" i="3"/>
  <c r="N71" i="3"/>
  <c r="N58" i="3"/>
  <c r="P58" i="3"/>
  <c r="N65" i="3"/>
  <c r="K32" i="3"/>
  <c r="I40" i="3"/>
  <c r="N60" i="3"/>
  <c r="K41" i="3"/>
  <c r="M37" i="3"/>
  <c r="J117" i="3"/>
  <c r="N113" i="3"/>
  <c r="O94" i="3"/>
  <c r="O71" i="3"/>
  <c r="M41" i="3"/>
  <c r="P32" i="3"/>
  <c r="O41" i="3"/>
  <c r="I52" i="3"/>
  <c r="I56" i="3"/>
  <c r="R56" i="3"/>
  <c r="P113" i="3"/>
  <c r="Q84" i="3"/>
  <c r="P94" i="3"/>
  <c r="P71" i="3"/>
  <c r="L58" i="3"/>
  <c r="J58" i="3"/>
  <c r="M58" i="3"/>
  <c r="I41" i="3"/>
  <c r="K52" i="3"/>
  <c r="P56" i="3"/>
  <c r="N64" i="3"/>
  <c r="Q56" i="3"/>
  <c r="Q113" i="3"/>
  <c r="R84" i="3"/>
  <c r="Q94" i="3"/>
  <c r="Q71" i="3"/>
  <c r="I111" i="3"/>
  <c r="O80" i="3"/>
  <c r="O111" i="3"/>
  <c r="P80" i="3"/>
  <c r="P111" i="3"/>
  <c r="Q76" i="3"/>
  <c r="R94" i="3"/>
  <c r="R37" i="3"/>
  <c r="Q80" i="3"/>
  <c r="R76" i="3"/>
  <c r="Q37" i="3"/>
  <c r="M80" i="3"/>
  <c r="I76" i="3"/>
  <c r="I84" i="3"/>
  <c r="J76" i="3"/>
  <c r="J84" i="3"/>
  <c r="K76" i="3"/>
  <c r="R71" i="3"/>
  <c r="Q32" i="3"/>
  <c r="R23" i="3"/>
  <c r="L75" i="3"/>
  <c r="Q81" i="3"/>
  <c r="K84" i="3"/>
  <c r="P76" i="3"/>
  <c r="Q91" i="3"/>
  <c r="P37" i="3"/>
  <c r="L43" i="3"/>
  <c r="R32" i="3"/>
  <c r="K75" i="3"/>
  <c r="R81" i="3"/>
  <c r="L84" i="3"/>
  <c r="L78" i="3"/>
  <c r="M91" i="3"/>
  <c r="M108" i="3"/>
  <c r="I64" i="3"/>
  <c r="K60" i="3"/>
  <c r="J56" i="3"/>
  <c r="N84" i="3"/>
  <c r="R78" i="3"/>
  <c r="N91" i="3"/>
  <c r="N108" i="3"/>
  <c r="L76" i="3"/>
  <c r="N76" i="3"/>
  <c r="M48" i="3"/>
  <c r="O43" i="3"/>
  <c r="R43" i="3"/>
  <c r="K113" i="3"/>
  <c r="M76" i="3"/>
  <c r="R99" i="3"/>
  <c r="L113" i="3"/>
  <c r="M29" i="3"/>
  <c r="J29" i="3"/>
  <c r="P29" i="3"/>
  <c r="O29" i="3"/>
  <c r="J30" i="3"/>
  <c r="L30" i="3"/>
  <c r="I30" i="3"/>
  <c r="P30" i="3"/>
  <c r="I29" i="3"/>
  <c r="Q83" i="3"/>
  <c r="O30" i="3"/>
  <c r="K29" i="3"/>
  <c r="J111" i="3"/>
  <c r="N82" i="3"/>
  <c r="M30" i="3"/>
  <c r="Q30" i="3"/>
  <c r="K111" i="3"/>
  <c r="Q82" i="3"/>
  <c r="N30" i="3"/>
  <c r="K30" i="3"/>
  <c r="M111" i="3"/>
  <c r="K82" i="3"/>
  <c r="I78" i="3"/>
  <c r="L91" i="3"/>
  <c r="Q99" i="3"/>
  <c r="O110" i="3"/>
  <c r="I69" i="3"/>
  <c r="N111" i="3"/>
  <c r="O82" i="3"/>
  <c r="R110" i="3"/>
  <c r="Q110" i="3"/>
  <c r="Q111" i="3"/>
  <c r="J78" i="3"/>
  <c r="N69" i="3"/>
  <c r="K78" i="3"/>
  <c r="O91" i="3"/>
  <c r="Q69" i="3"/>
  <c r="L80" i="3"/>
  <c r="M78" i="3"/>
  <c r="P91" i="3"/>
  <c r="M90" i="3"/>
  <c r="N90" i="3"/>
  <c r="P90" i="3"/>
  <c r="O103" i="3"/>
  <c r="Q103" i="3"/>
  <c r="O78" i="3"/>
  <c r="O34" i="3"/>
  <c r="N26" i="3"/>
  <c r="P26" i="3"/>
  <c r="M31" i="3"/>
  <c r="I26" i="3"/>
  <c r="K26" i="3"/>
  <c r="R90" i="3"/>
  <c r="P104" i="3"/>
  <c r="I88" i="3"/>
  <c r="Q26" i="3"/>
  <c r="L88" i="3"/>
  <c r="O107" i="3"/>
  <c r="O26" i="3"/>
  <c r="L26" i="3"/>
  <c r="P78" i="3"/>
  <c r="K80" i="3"/>
  <c r="R111" i="3"/>
  <c r="P82" i="3"/>
  <c r="Q78" i="3"/>
  <c r="R91" i="3"/>
  <c r="J26" i="3"/>
  <c r="R80" i="3"/>
  <c r="R82" i="3"/>
  <c r="J91" i="3"/>
  <c r="P107" i="3"/>
  <c r="Q107" i="3"/>
  <c r="N107" i="3"/>
  <c r="M110" i="3"/>
  <c r="R29" i="3"/>
  <c r="N110" i="3"/>
  <c r="R103" i="3"/>
  <c r="O83" i="3"/>
  <c r="Q46" i="3"/>
  <c r="N80" i="3"/>
  <c r="R93" i="3"/>
  <c r="P83" i="3"/>
  <c r="J82" i="3"/>
  <c r="J94" i="3"/>
  <c r="I91" i="3"/>
  <c r="L112" i="3"/>
  <c r="N99" i="3"/>
  <c r="Q112" i="3"/>
  <c r="Q104" i="3"/>
  <c r="R112" i="3"/>
  <c r="R83" i="3"/>
  <c r="K110" i="3"/>
  <c r="I83" i="3"/>
  <c r="L110" i="3"/>
  <c r="N83" i="3"/>
  <c r="I103" i="3"/>
  <c r="O93" i="3"/>
  <c r="N103" i="3"/>
  <c r="J31" i="3"/>
  <c r="Q93" i="3"/>
  <c r="K103" i="3"/>
  <c r="M46" i="3"/>
  <c r="O31" i="3"/>
  <c r="N31" i="3"/>
  <c r="P31" i="3"/>
  <c r="N34" i="3"/>
  <c r="Q34" i="3"/>
  <c r="R109" i="3"/>
  <c r="R34" i="3"/>
  <c r="K34" i="3"/>
  <c r="I46" i="3"/>
  <c r="M34" i="3"/>
  <c r="J46" i="3"/>
  <c r="R31" i="3"/>
  <c r="Q90" i="3"/>
  <c r="P34" i="3"/>
  <c r="N46" i="3"/>
  <c r="O46" i="3"/>
  <c r="J90" i="3"/>
  <c r="L31" i="3"/>
  <c r="I104" i="3"/>
  <c r="L34" i="3"/>
  <c r="P46" i="3"/>
  <c r="J104" i="3"/>
  <c r="J103" i="3"/>
  <c r="J83" i="3"/>
  <c r="L46" i="3"/>
  <c r="I34" i="3"/>
  <c r="I31" i="3"/>
  <c r="K46" i="3"/>
  <c r="I110" i="3"/>
  <c r="N104" i="3"/>
  <c r="L103" i="3"/>
  <c r="L83" i="3"/>
  <c r="J87" i="3"/>
  <c r="K108" i="3"/>
  <c r="O99" i="3"/>
  <c r="K31" i="3"/>
  <c r="J110" i="3"/>
  <c r="O104" i="3"/>
  <c r="M103" i="3"/>
  <c r="K83" i="3"/>
  <c r="Q86" i="3"/>
  <c r="L87" i="3"/>
  <c r="L108" i="3"/>
  <c r="O115" i="3"/>
  <c r="P115" i="3"/>
  <c r="J86" i="3"/>
  <c r="I112" i="3"/>
  <c r="O86" i="3"/>
  <c r="J112" i="3"/>
  <c r="R86" i="3"/>
  <c r="K112" i="3"/>
  <c r="I86" i="3"/>
  <c r="Q108" i="3"/>
  <c r="K102" i="3"/>
  <c r="L102" i="3"/>
  <c r="P102" i="3"/>
  <c r="R102" i="3"/>
  <c r="Q102" i="3"/>
  <c r="M74" i="3"/>
  <c r="N74" i="3"/>
  <c r="P74" i="3"/>
  <c r="R104" i="3"/>
  <c r="O90" i="3"/>
  <c r="R108" i="3"/>
  <c r="I90" i="3"/>
  <c r="I108" i="3"/>
  <c r="K90" i="3"/>
  <c r="I87" i="3"/>
  <c r="Q115" i="3"/>
  <c r="I85" i="3"/>
  <c r="R74" i="3"/>
  <c r="R115" i="3"/>
  <c r="J85" i="3"/>
  <c r="O74" i="3"/>
  <c r="P73" i="3"/>
  <c r="K85" i="3"/>
  <c r="J74" i="3"/>
  <c r="Q73" i="3"/>
  <c r="L85" i="3"/>
  <c r="Q74" i="3"/>
  <c r="M85" i="3"/>
  <c r="I74" i="3"/>
  <c r="N85" i="3"/>
  <c r="K74" i="3"/>
  <c r="P85" i="3"/>
  <c r="K104" i="3"/>
  <c r="M112" i="3"/>
  <c r="Q85" i="3"/>
  <c r="L104" i="3"/>
  <c r="N112" i="3"/>
  <c r="O85" i="3"/>
  <c r="O112" i="3"/>
  <c r="P86" i="3"/>
  <c r="I115" i="3"/>
  <c r="J109" i="3"/>
  <c r="M88" i="3"/>
  <c r="Q109" i="3"/>
  <c r="K86" i="3"/>
  <c r="J115" i="3"/>
  <c r="J102" i="3"/>
  <c r="L86" i="3"/>
  <c r="I100" i="3"/>
  <c r="M102" i="3"/>
  <c r="N102" i="3"/>
  <c r="M86" i="3"/>
  <c r="M73" i="3"/>
  <c r="N114" i="3"/>
  <c r="K98" i="3"/>
  <c r="K73" i="3"/>
  <c r="J114" i="3"/>
  <c r="L73" i="3"/>
  <c r="K114" i="3"/>
  <c r="I102" i="3"/>
  <c r="N73" i="3"/>
  <c r="L114" i="3"/>
  <c r="P67" i="3"/>
  <c r="I72" i="3"/>
  <c r="J67" i="3"/>
  <c r="K72" i="3"/>
  <c r="L67" i="3"/>
  <c r="J72" i="3"/>
  <c r="L72" i="3"/>
  <c r="N67" i="3"/>
  <c r="N72" i="3"/>
  <c r="K105" i="3"/>
  <c r="O72" i="3"/>
  <c r="L105" i="3"/>
  <c r="P72" i="3"/>
  <c r="M114" i="3"/>
  <c r="K115" i="3"/>
  <c r="M105" i="3"/>
  <c r="Q72" i="3"/>
  <c r="L115" i="3"/>
  <c r="N105" i="3"/>
  <c r="M67" i="3"/>
  <c r="K67" i="3"/>
  <c r="R72" i="3"/>
  <c r="R73" i="3"/>
  <c r="O114" i="3"/>
  <c r="M115" i="3"/>
  <c r="O105" i="3"/>
  <c r="O73" i="3"/>
  <c r="P114" i="3"/>
  <c r="P105" i="3"/>
  <c r="M79" i="3"/>
  <c r="I73" i="3"/>
  <c r="Q114" i="3"/>
  <c r="Q105" i="3"/>
  <c r="O79" i="3"/>
  <c r="R114" i="3"/>
  <c r="R105" i="3"/>
  <c r="I97" i="3"/>
  <c r="Q79" i="3"/>
  <c r="N88" i="3"/>
  <c r="O101" i="3"/>
  <c r="O88" i="3"/>
  <c r="O87" i="3"/>
  <c r="Q101" i="3"/>
  <c r="I93" i="3"/>
  <c r="Q88" i="3"/>
  <c r="P87" i="3"/>
  <c r="R101" i="3"/>
  <c r="L97" i="3"/>
  <c r="M97" i="3"/>
  <c r="P88" i="3"/>
  <c r="R97" i="3"/>
  <c r="O97" i="3"/>
  <c r="R88" i="3"/>
  <c r="M101" i="3"/>
  <c r="R98" i="3"/>
  <c r="O109" i="3"/>
  <c r="N101" i="3"/>
  <c r="I98" i="3"/>
  <c r="J79" i="3"/>
  <c r="Q100" i="3"/>
  <c r="P101" i="3"/>
  <c r="L27" i="3"/>
  <c r="I109" i="3"/>
  <c r="P98" i="3"/>
  <c r="K97" i="3"/>
  <c r="L98" i="3"/>
  <c r="L79" i="3"/>
  <c r="K109" i="3"/>
  <c r="I101" i="3"/>
  <c r="L109" i="3"/>
  <c r="K79" i="3"/>
  <c r="I116" i="3"/>
  <c r="L116" i="3"/>
  <c r="M116" i="3"/>
  <c r="K27" i="3"/>
  <c r="J97" i="3"/>
  <c r="P79" i="3"/>
  <c r="M109" i="3"/>
  <c r="R79" i="3"/>
  <c r="N109" i="3"/>
  <c r="J101" i="3"/>
  <c r="M98" i="3"/>
  <c r="Q67" i="3"/>
  <c r="N98" i="3"/>
  <c r="O98" i="3"/>
  <c r="M27" i="3"/>
  <c r="R27" i="3"/>
  <c r="N27" i="3"/>
  <c r="O27" i="3"/>
  <c r="J98" i="3"/>
  <c r="R100" i="3"/>
  <c r="K101" i="3"/>
  <c r="J100" i="3"/>
  <c r="Q116" i="3"/>
  <c r="K100" i="3"/>
  <c r="I27" i="3"/>
  <c r="R116" i="3"/>
  <c r="I79" i="3"/>
  <c r="L100" i="3"/>
  <c r="J116" i="3"/>
  <c r="K116" i="3"/>
  <c r="N100" i="3"/>
  <c r="N116" i="3"/>
  <c r="P27" i="3"/>
  <c r="O116" i="3"/>
  <c r="O100" i="3"/>
  <c r="Q27" i="3"/>
  <c r="M100" i="3"/>
  <c r="O40" i="3"/>
  <c r="L53" i="3"/>
  <c r="R53" i="3"/>
  <c r="K40" i="3"/>
  <c r="Q53" i="3"/>
  <c r="J40" i="3"/>
  <c r="L40" i="3"/>
  <c r="I53" i="3"/>
  <c r="M53" i="3"/>
  <c r="P53" i="3"/>
  <c r="K53" i="3"/>
  <c r="J53" i="3"/>
  <c r="M40" i="3"/>
  <c r="O53" i="3"/>
  <c r="R40" i="3"/>
  <c r="Q40" i="3"/>
  <c r="F118" i="3"/>
  <c r="J93" i="3"/>
  <c r="R107" i="3"/>
  <c r="K93" i="3"/>
  <c r="I107" i="3"/>
  <c r="L93" i="3"/>
  <c r="J107" i="3"/>
  <c r="M93" i="3"/>
  <c r="L107" i="3"/>
  <c r="N93" i="3"/>
  <c r="J88" i="3"/>
  <c r="K107" i="3"/>
  <c r="K119" i="3" l="1" a="1"/>
  <c r="K119" i="3" s="1"/>
  <c r="L121" i="3" a="1"/>
  <c r="L121" i="3" s="1"/>
  <c r="P120" i="3" a="1"/>
  <c r="P120" i="3" s="1"/>
  <c r="N120" i="3" a="1"/>
  <c r="N120" i="3" s="1"/>
  <c r="R121" i="3" a="1"/>
  <c r="R121" i="3" s="1"/>
  <c r="K120" i="3" a="1"/>
  <c r="K120" i="3" s="1"/>
  <c r="Q120" i="3" a="1"/>
  <c r="Q120" i="3" s="1"/>
  <c r="M120" i="3" a="1"/>
  <c r="M120" i="3" s="1"/>
  <c r="I121" i="3" a="1"/>
  <c r="I121" i="3" s="1"/>
  <c r="K121" i="3" a="1"/>
  <c r="K121" i="3" s="1"/>
  <c r="J119" i="3" a="1"/>
  <c r="J119" i="3" s="1"/>
  <c r="O121" i="3" a="1"/>
  <c r="O121" i="3" s="1"/>
  <c r="I119" i="3" a="1"/>
  <c r="I119" i="3" s="1"/>
  <c r="I120" i="3" a="1"/>
  <c r="I120" i="3" s="1"/>
  <c r="Q121" i="3" a="1"/>
  <c r="Q121" i="3" s="1"/>
  <c r="R119" i="3" a="1"/>
  <c r="R119" i="3" s="1"/>
  <c r="P121" i="3" a="1"/>
  <c r="P121" i="3" s="1"/>
  <c r="J120" i="3" a="1"/>
  <c r="J120" i="3" s="1"/>
  <c r="J121" i="3" a="1"/>
  <c r="J121" i="3" s="1"/>
  <c r="O120" i="3" a="1"/>
  <c r="O120" i="3" s="1"/>
  <c r="M121" i="3" a="1"/>
  <c r="M121" i="3" s="1"/>
  <c r="N121" i="3" a="1"/>
  <c r="N121" i="3" s="1"/>
  <c r="M119" i="3" a="1"/>
  <c r="M119" i="3" s="1"/>
  <c r="O119" i="3" a="1"/>
  <c r="O119" i="3" s="1"/>
  <c r="L119" i="3" a="1"/>
  <c r="L119" i="3" s="1"/>
  <c r="Q119" i="3" a="1"/>
  <c r="Q119" i="3" s="1"/>
  <c r="R120" i="3" a="1"/>
  <c r="R120" i="3" s="1"/>
  <c r="P119" i="3" a="1"/>
  <c r="P119" i="3" s="1"/>
  <c r="L120" i="3" a="1"/>
  <c r="L120" i="3" s="1"/>
  <c r="N119" i="3" a="1"/>
  <c r="N11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<sst xmlns="http://schemas.openxmlformats.org/spreadsheetml/2006/main" count="2876" uniqueCount="1249">
  <si>
    <t>rowType</t>
  </si>
  <si>
    <t>extensionId</t>
  </si>
  <si>
    <t>extensionName</t>
  </si>
  <si>
    <t>extensionCoverImageRef</t>
  </si>
  <si>
    <t>cardId</t>
  </si>
  <si>
    <t>name</t>
  </si>
  <si>
    <t>rarityLabel</t>
  </si>
  <si>
    <t>cardRarityMultiplier</t>
  </si>
  <si>
    <t>imageRef</t>
  </si>
  <si>
    <t>variantProfileId</t>
  </si>
  <si>
    <t>commonName</t>
  </si>
  <si>
    <t>primaryCatalogName</t>
  </si>
  <si>
    <t>catalogNumber</t>
  </si>
  <si>
    <t>objectFamily</t>
  </si>
  <si>
    <t>objectTypeLabel</t>
  </si>
  <si>
    <t>constellation</t>
  </si>
  <si>
    <t>mainSeason</t>
  </si>
  <si>
    <t>rightAscensionHours</t>
  </si>
  <si>
    <t>rightAscensionMinutes</t>
  </si>
  <si>
    <t>rightAscensionSeconds</t>
  </si>
  <si>
    <t>rightAscensionLabel</t>
  </si>
  <si>
    <t>declinationSign</t>
  </si>
  <si>
    <t>declinationDegrees</t>
  </si>
  <si>
    <t>declinationArcMinutes</t>
  </si>
  <si>
    <t>declinationArcSeconds</t>
  </si>
  <si>
    <t>declinationLabel</t>
  </si>
  <si>
    <t>coordinatesLabel</t>
  </si>
  <si>
    <t>shortDescription</t>
  </si>
  <si>
    <t>detailType</t>
  </si>
  <si>
    <t>distanceLightYears</t>
  </si>
  <si>
    <t>distanceLabel</t>
  </si>
  <si>
    <t>realSizeLightYears</t>
  </si>
  <si>
    <t>realSizeLabel</t>
  </si>
  <si>
    <t>visualFullMoonWidth</t>
  </si>
  <si>
    <t>visualFullMoonHeight</t>
  </si>
  <si>
    <t>angularWidthDegrees</t>
  </si>
  <si>
    <t>angularWidthArcMinutes</t>
  </si>
  <si>
    <t>angularWidthArcSeconds</t>
  </si>
  <si>
    <t>angularWidthLabel</t>
  </si>
  <si>
    <t>angularHeightDegrees</t>
  </si>
  <si>
    <t>angularHeightArcMinutes</t>
  </si>
  <si>
    <t>angularHeightArcSeconds</t>
  </si>
  <si>
    <t>angularHeightLabel</t>
  </si>
  <si>
    <t>visualSizeLabel</t>
  </si>
  <si>
    <t>absoluteMagnitudeValue</t>
  </si>
  <si>
    <t>absoluteMagnitudeLabel</t>
  </si>
  <si>
    <t>extension</t>
  </si>
  <si>
    <t>astronomes-en-herbe</t>
  </si>
  <si>
    <t>Astronomes en herbe</t>
  </si>
  <si>
    <t>cover_astronomes_en_herbe</t>
  </si>
  <si>
    <t>card</t>
  </si>
  <si>
    <t>aeh-albireo</t>
  </si>
  <si>
    <t>Common</t>
  </si>
  <si>
    <t>albireo</t>
  </si>
  <si>
    <t>observation-default</t>
  </si>
  <si>
    <t>Bayer</t>
  </si>
  <si>
    <t>Beta Cygni</t>
  </si>
  <si>
    <t>star</t>
  </si>
  <si>
    <t>Etoile double coloree</t>
  </si>
  <si>
    <t>Cygne</t>
  </si>
  <si>
    <t>Ete</t>
  </si>
  <si>
    <t>AD 19h 30m 43,0s</t>
  </si>
  <si>
    <t>+</t>
  </si>
  <si>
    <t>+27° 58′ 00″</t>
  </si>
  <si>
    <t>AD 19h 30m 43,0s ; Dec +27° 58′ 00″</t>
  </si>
  <si>
    <t>420 annees-lumiere</t>
  </si>
  <si>
    <t>0,005 annee-lumiere</t>
  </si>
  <si>
    <t>-2.3</t>
  </si>
  <si>
    <t>aeh-algol</t>
  </si>
  <si>
    <t>Algol</t>
  </si>
  <si>
    <t>Uncommon</t>
  </si>
  <si>
    <t>algol</t>
  </si>
  <si>
    <t>Beta Persei</t>
  </si>
  <si>
    <t>Etoile variable eclipsante</t>
  </si>
  <si>
    <t>Persee</t>
  </si>
  <si>
    <t>Automne</t>
  </si>
  <si>
    <t>AD 03h 08m 10,0s</t>
  </si>
  <si>
    <t>+40° 57′ 20″</t>
  </si>
  <si>
    <t>AD 03h 08m 10,0s ; Dec +40° 57′ 20″</t>
  </si>
  <si>
    <t>93 annees-lumiere</t>
  </si>
  <si>
    <t>0,0003 annee-lumiere</t>
  </si>
  <si>
    <t>-0.2</t>
  </si>
  <si>
    <t>aeh-almach</t>
  </si>
  <si>
    <t>Almach</t>
  </si>
  <si>
    <t>almach</t>
  </si>
  <si>
    <t>Gamma Andromedae</t>
  </si>
  <si>
    <t>Andromede</t>
  </si>
  <si>
    <t>AD 02h 03m 54,0s</t>
  </si>
  <si>
    <t>+42° 19′ 47″</t>
  </si>
  <si>
    <t>AD 02h 03m 54,0s ; Dec +42° 19′ 47″</t>
  </si>
  <si>
    <t>350 annees-lumiere</t>
  </si>
  <si>
    <t>0,0000118 annee-lumiere</t>
  </si>
  <si>
    <t>-0.3</t>
  </si>
  <si>
    <t>aeh-altair</t>
  </si>
  <si>
    <t>altair</t>
  </si>
  <si>
    <t>Alpha Aquilae</t>
  </si>
  <si>
    <t>Etoile blanche</t>
  </si>
  <si>
    <t>Aigle</t>
  </si>
  <si>
    <t>AD 19h 50m 47,0s</t>
  </si>
  <si>
    <t>+08° 52′ 06″</t>
  </si>
  <si>
    <t>AD 19h 50m 47,0s ; Dec +08° 52′ 06″</t>
  </si>
  <si>
    <t>16,7 annees-lumiere</t>
  </si>
  <si>
    <t>0,000000265 annee-lumiere</t>
  </si>
  <si>
    <t>2.2</t>
  </si>
  <si>
    <t>aeh-andromede-constellation</t>
  </si>
  <si>
    <t>andromeda_constellation</t>
  </si>
  <si>
    <t>IAU</t>
  </si>
  <si>
    <t>AND</t>
  </si>
  <si>
    <t>Constellation</t>
  </si>
  <si>
    <t>AD 01h 00m 00,0s</t>
  </si>
  <si>
    <t>+38° 00′ 00″</t>
  </si>
  <si>
    <t>AD 01h 00m 00,0s ; Dec +38° 00′ 00″</t>
  </si>
  <si>
    <t>5°30′00″</t>
  </si>
  <si>
    <t>2°30′00″</t>
  </si>
  <si>
    <t>11,00 × 5,00 (5°30′00″ × 2°30′00″)</t>
  </si>
  <si>
    <t>aeh-arcturus</t>
  </si>
  <si>
    <t>Arcturus</t>
  </si>
  <si>
    <t>arcturus</t>
  </si>
  <si>
    <t>Alpha Bootis</t>
  </si>
  <si>
    <t>Geante orange</t>
  </si>
  <si>
    <t>Bouvier</t>
  </si>
  <si>
    <t>Printemps</t>
  </si>
  <si>
    <t>AD 14h 15m 39,7s</t>
  </si>
  <si>
    <t>+19° 10′ 57″</t>
  </si>
  <si>
    <t>AD 14h 15m 39,7s ; Dec +19° 10′ 57″</t>
  </si>
  <si>
    <t>36,7 annees-lumiere</t>
  </si>
  <si>
    <t>0,00000373 annee-lumiere</t>
  </si>
  <si>
    <t>aeh-aurora-borealis</t>
  </si>
  <si>
    <t>Epic</t>
  </si>
  <si>
    <t>aurora_borealis</t>
  </si>
  <si>
    <t>Geophysique</t>
  </si>
  <si>
    <t>AUR-N</t>
  </si>
  <si>
    <t>sky_event</t>
  </si>
  <si>
    <t>Phenomenes lumineux polaires</t>
  </si>
  <si>
    <t>Circumpolaire</t>
  </si>
  <si>
    <t>Automne-Hiver</t>
  </si>
  <si>
    <t>AD 00h 00m 00,0s</t>
  </si>
  <si>
    <t>+70° 00′ 00″</t>
  </si>
  <si>
    <t>AD 00h 00m 00,0s ; Dec +70° 00′ 00″</t>
  </si>
  <si>
    <t>60°00′00″</t>
  </si>
  <si>
    <t>30°00′00″</t>
  </si>
  <si>
    <t>120,00 × 60,00 (60°00′00″ × 30°00′00″)</t>
  </si>
  <si>
    <t>aeh-betelgeuse</t>
  </si>
  <si>
    <t>betelgeuse</t>
  </si>
  <si>
    <t>Alpha Orionis</t>
  </si>
  <si>
    <t>Supergeante rouge</t>
  </si>
  <si>
    <t>Orion</t>
  </si>
  <si>
    <t>Hiver</t>
  </si>
  <si>
    <t>AD 05h 55m 10,3s</t>
  </si>
  <si>
    <t>+07° 24′ 25″</t>
  </si>
  <si>
    <t>AD 05h 55m 10,3s ; Dec +07° 24′ 25″</t>
  </si>
  <si>
    <t>548 annees-lumiere</t>
  </si>
  <si>
    <t>0,00011 annee-lumiere</t>
  </si>
  <si>
    <t>-5.85</t>
  </si>
  <si>
    <t>aeh-capella</t>
  </si>
  <si>
    <t>Capella</t>
  </si>
  <si>
    <t>capella</t>
  </si>
  <si>
    <t>Alpha Aurigae</t>
  </si>
  <si>
    <t>Etoile multiple</t>
  </si>
  <si>
    <t>Cocher</t>
  </si>
  <si>
    <t>AD 05h 16m 41,0s</t>
  </si>
  <si>
    <t>+45° 59′ 53″</t>
  </si>
  <si>
    <t>AD 05h 16m 41,0s ; Dec +45° 59′ 53″</t>
  </si>
  <si>
    <t>42,9 annees-lumiere</t>
  </si>
  <si>
    <t>0,00000176 annee-lumiere</t>
  </si>
  <si>
    <t>0.3</t>
  </si>
  <si>
    <t>aeh-cassiopeia</t>
  </si>
  <si>
    <t>Cassiopee</t>
  </si>
  <si>
    <t>cassiopeia_constellation</t>
  </si>
  <si>
    <t>CAS</t>
  </si>
  <si>
    <t>+60° 00′ 00″</t>
  </si>
  <si>
    <t>AD 01h 00m 00,0s ; Dec +60° 00′ 00″</t>
  </si>
  <si>
    <t>5°00′00″</t>
  </si>
  <si>
    <t>3°30′00″</t>
  </si>
  <si>
    <t>10,00 × 7,00 (5°00′00″ × 3°30′00″)</t>
  </si>
  <si>
    <t>aeh-coathanger</t>
  </si>
  <si>
    <t>Amas du Cintre</t>
  </si>
  <si>
    <t>coathanger</t>
  </si>
  <si>
    <t>Collinder</t>
  </si>
  <si>
    <t>Cr 399</t>
  </si>
  <si>
    <t>deep_sky</t>
  </si>
  <si>
    <t>Asterisme</t>
  </si>
  <si>
    <t>Petit Renard</t>
  </si>
  <si>
    <t>AD 19h 26m 00,0s</t>
  </si>
  <si>
    <t>+20° 11′ 00″</t>
  </si>
  <si>
    <t>AD 19h 26m 00,0s ; Dec +20° 11′ 00″</t>
  </si>
  <si>
    <t>30 annees-lumiere</t>
  </si>
  <si>
    <t>1°16′00″</t>
  </si>
  <si>
    <t>0°40′00″</t>
  </si>
  <si>
    <t>2,50 × 1,30 (1°16′00″ × 0°40′00″)</t>
  </si>
  <si>
    <t>-1</t>
  </si>
  <si>
    <t>aeh-comet-neowise</t>
  </si>
  <si>
    <t>comet_neowise</t>
  </si>
  <si>
    <t>Comet</t>
  </si>
  <si>
    <t>C/2020 F3</t>
  </si>
  <si>
    <t>Comete non periodique</t>
  </si>
  <si>
    <t>Variable</t>
  </si>
  <si>
    <t>+00° 00′ 00″</t>
  </si>
  <si>
    <t>AD 00h 00m 00,0s ; Dec +00° 00′ 00″</t>
  </si>
  <si>
    <t>aeh-cygne</t>
  </si>
  <si>
    <t>cygnus_constellation</t>
  </si>
  <si>
    <t>CYG</t>
  </si>
  <si>
    <t>AD 20h 30m 00,0s</t>
  </si>
  <si>
    <t>+42° 00′ 00″</t>
  </si>
  <si>
    <t>AD 20h 30m 00,0s ; Dec +42° 00′ 00″</t>
  </si>
  <si>
    <t>6°00′00″</t>
  </si>
  <si>
    <t>4°30′00″</t>
  </si>
  <si>
    <t>12,00 × 9,00 (6°00′00″ × 4°30′00″)</t>
  </si>
  <si>
    <t>aeh-double-cluster</t>
  </si>
  <si>
    <t>double_cluster</t>
  </si>
  <si>
    <t>Caldwell</t>
  </si>
  <si>
    <t>C14</t>
  </si>
  <si>
    <t>Double amas ouvert</t>
  </si>
  <si>
    <t>AD 02h 21m 00,0s</t>
  </si>
  <si>
    <t>+57° 08′ 00″</t>
  </si>
  <si>
    <t>AD 02h 21m 00,0s ; Dec +57° 08′ 00″</t>
  </si>
  <si>
    <t>7 500 annees-lumiere</t>
  </si>
  <si>
    <t>70 annees-lumiere</t>
  </si>
  <si>
    <t>1°00′00″</t>
  </si>
  <si>
    <t>0°30′00″</t>
  </si>
  <si>
    <t>2,00 × 1,00 (1°00′00″ × 0°30′00″)</t>
  </si>
  <si>
    <t>-3.7</t>
  </si>
  <si>
    <t>aeh-gemeaux</t>
  </si>
  <si>
    <t>Gemeaux</t>
  </si>
  <si>
    <t>gemini_constellation</t>
  </si>
  <si>
    <t>GEM</t>
  </si>
  <si>
    <t>AD 07h 00m 00,0s</t>
  </si>
  <si>
    <t>+22° 00′ 00″</t>
  </si>
  <si>
    <t>AD 07h 00m 00,0s ; Dec +22° 00′ 00″</t>
  </si>
  <si>
    <t>3°00′00″</t>
  </si>
  <si>
    <t>9,00 × 6,00 (4°30′00″ × 3°00′00″)</t>
  </si>
  <si>
    <t>aeh-geminids</t>
  </si>
  <si>
    <t>geminids_meteor_shower</t>
  </si>
  <si>
    <t>IMO</t>
  </si>
  <si>
    <t>Essaim d'etoiles filantes</t>
  </si>
  <si>
    <t>AD 07h 30m 00,0s</t>
  </si>
  <si>
    <t>+32° 00′ 00″</t>
  </si>
  <si>
    <t>AD 07h 30m 00,0s ; Dec +32° 00′ 00″</t>
  </si>
  <si>
    <t>90°00′00″</t>
  </si>
  <si>
    <t>45°00′00″</t>
  </si>
  <si>
    <t>180,00 × 90,00 (90°00′00″ × 45°00′00″)</t>
  </si>
  <si>
    <t>aeh-comet-halley</t>
  </si>
  <si>
    <t>halley_comet</t>
  </si>
  <si>
    <t>Periodic Comet</t>
  </si>
  <si>
    <t>1P/Halley</t>
  </si>
  <si>
    <t>Comete periodique</t>
  </si>
  <si>
    <t>aeh-hyades</t>
  </si>
  <si>
    <t>Hyades</t>
  </si>
  <si>
    <t>hyades</t>
  </si>
  <si>
    <t>Melotte</t>
  </si>
  <si>
    <t>Mel 25</t>
  </si>
  <si>
    <t>Amas ouvert</t>
  </si>
  <si>
    <t>Taureau</t>
  </si>
  <si>
    <t>AD 04h 27m 00,0s</t>
  </si>
  <si>
    <t>+16° 00′ 00″</t>
  </si>
  <si>
    <t>AD 04h 27m 00,0s ; Dec +16° 00′ 00″</t>
  </si>
  <si>
    <t>153 annees-lumiere</t>
  </si>
  <si>
    <t>75 annees-lumiere</t>
  </si>
  <si>
    <t>-2.7</t>
  </si>
  <si>
    <t>aeh-leonids</t>
  </si>
  <si>
    <t>leonids_meteor_shower</t>
  </si>
  <si>
    <t>LEO</t>
  </si>
  <si>
    <t>Lion</t>
  </si>
  <si>
    <t>AD 10h 08m 00,0s</t>
  </si>
  <si>
    <t>AD 10h 08m 00,0s ; Dec +22° 00′ 00″</t>
  </si>
  <si>
    <t>174,19 × 87,10 (90°00′00″ × 45°00′00″)</t>
  </si>
  <si>
    <t>aeh-lyre-constellation</t>
  </si>
  <si>
    <t>Lyre</t>
  </si>
  <si>
    <t>lyra_constellation</t>
  </si>
  <si>
    <t>LYR</t>
  </si>
  <si>
    <t>AD 18h 50m 00,0s</t>
  </si>
  <si>
    <t>+36° 40′ 00″</t>
  </si>
  <si>
    <t>AD 18h 50m 00,0s ; Dec +36° 40′ 00″</t>
  </si>
  <si>
    <t>4°00′00″</t>
  </si>
  <si>
    <t>7,74 × 5,81 (4°00′00″ × 3°00′00″)</t>
  </si>
  <si>
    <t>aeh-m11-wild-duck</t>
  </si>
  <si>
    <t>Amas du Canard Sauvage</t>
  </si>
  <si>
    <t>m11_wild_duck_cluster</t>
  </si>
  <si>
    <t>Messier</t>
  </si>
  <si>
    <t>M11</t>
  </si>
  <si>
    <t>Ecu</t>
  </si>
  <si>
    <t>AD 18h 51m 06,0s</t>
  </si>
  <si>
    <t>-</t>
  </si>
  <si>
    <t>-06° 16′ 00″</t>
  </si>
  <si>
    <t>AD 18h 51m 06,0s ; Dec -06° 16′ 00″</t>
  </si>
  <si>
    <t>6 120 annees-lumiere</t>
  </si>
  <si>
    <t>20 annees-lumiere</t>
  </si>
  <si>
    <t>0°14′00″</t>
  </si>
  <si>
    <t>0,45 × 0,45 (0°14′00″ × 0°14′00″)</t>
  </si>
  <si>
    <t>-6.3</t>
  </si>
  <si>
    <t>aeh-m13-hercules</t>
  </si>
  <si>
    <t>Grand amas d'Hercule</t>
  </si>
  <si>
    <t>m13_hercules</t>
  </si>
  <si>
    <t>M13</t>
  </si>
  <si>
    <t>Amas globulaire</t>
  </si>
  <si>
    <t>Hercule</t>
  </si>
  <si>
    <t>AD 16h 41m 41,0s</t>
  </si>
  <si>
    <t>+36° 28′ 00″</t>
  </si>
  <si>
    <t>AD 16h 41m 41,0s ; Dec +36° 28′ 00″</t>
  </si>
  <si>
    <t>25 000 annees-lumiere</t>
  </si>
  <si>
    <t>145 annees-lumiere</t>
  </si>
  <si>
    <t>0°20′00″</t>
  </si>
  <si>
    <t>0,65 × 0,65 (0°20′00″ × 0°20′00″)</t>
  </si>
  <si>
    <t>-8.5</t>
  </si>
  <si>
    <t>aeh-m16-eagle</t>
  </si>
  <si>
    <t>Rare</t>
  </si>
  <si>
    <t>m16_eagle_nebula</t>
  </si>
  <si>
    <t>M16</t>
  </si>
  <si>
    <t>Amas ouvert et nebuleuse</t>
  </si>
  <si>
    <t>Serpent</t>
  </si>
  <si>
    <t>AD 18h 18m 48,0s</t>
  </si>
  <si>
    <t>-13° 49′ 00″</t>
  </si>
  <si>
    <t>AD 18h 18m 48,0s ; Dec -13° 49′ 00″</t>
  </si>
  <si>
    <t>5 700 annees-lumiere</t>
  </si>
  <si>
    <t>0°35′00″</t>
  </si>
  <si>
    <t>0°28′00″</t>
  </si>
  <si>
    <t>1,13 × 0,90 (0°35′00″ × 0°28′00″)</t>
  </si>
  <si>
    <t>-6.4</t>
  </si>
  <si>
    <t>aeh-m17-swan</t>
  </si>
  <si>
    <t>m17_swan_nebula</t>
  </si>
  <si>
    <t>M17</t>
  </si>
  <si>
    <t>Nebuleuse diffuse</t>
  </si>
  <si>
    <t>Sagittaire</t>
  </si>
  <si>
    <t>AD 18h 20m 47,0s</t>
  </si>
  <si>
    <t>-16° 11′ 00″</t>
  </si>
  <si>
    <t>AD 18h 20m 47,0s ; Dec -16° 11′ 00″</t>
  </si>
  <si>
    <t>5 500 annees-lumiere</t>
  </si>
  <si>
    <t>15 annees-lumiere</t>
  </si>
  <si>
    <t>0°15′00″</t>
  </si>
  <si>
    <t>0,65 × 0,48 (0°20′00″ × 0°15′00″)</t>
  </si>
  <si>
    <t>-5.8</t>
  </si>
  <si>
    <t>aeh-m22-globular</t>
  </si>
  <si>
    <t>M22</t>
  </si>
  <si>
    <t>m22_globular_cluster</t>
  </si>
  <si>
    <t>AD 18h 36m 24,0s</t>
  </si>
  <si>
    <t>-23° 54′ 00″</t>
  </si>
  <si>
    <t>AD 18h 36m 24,0s ; Dec -23° 54′ 00″</t>
  </si>
  <si>
    <t>10 600 annees-lumiere</t>
  </si>
  <si>
    <t>100 annees-lumiere</t>
  </si>
  <si>
    <t>0°24′00″</t>
  </si>
  <si>
    <t>0,77 × 0,77 (0°24′00″ × 0°24′00″)</t>
  </si>
  <si>
    <t>aeh-m24-star-cloud</t>
  </si>
  <si>
    <t>Nuage stellaire du Sagittaire</t>
  </si>
  <si>
    <t>m24_star_cloud</t>
  </si>
  <si>
    <t>M24</t>
  </si>
  <si>
    <t>Nuage stellaire</t>
  </si>
  <si>
    <t>AD 18h 16m 48,0s</t>
  </si>
  <si>
    <t>-18° 29′ 00″</t>
  </si>
  <si>
    <t>AD 18h 16m 48,0s ; Dec -18° 29′ 00″</t>
  </si>
  <si>
    <t>10 000 annees-lumiere</t>
  </si>
  <si>
    <t>600 annees-lumiere</t>
  </si>
  <si>
    <t>2°00′00″</t>
  </si>
  <si>
    <t>3,87 × 1,94 (2°00′00″ × 1°00′00″)</t>
  </si>
  <si>
    <t>aeh-m27-dumbbell</t>
  </si>
  <si>
    <t>m27_dumbbell</t>
  </si>
  <si>
    <t>M27</t>
  </si>
  <si>
    <t>Nebuleuse planetaire</t>
  </si>
  <si>
    <t>AD 19h 59m 36,0s</t>
  </si>
  <si>
    <t>+22° 43′ 00″</t>
  </si>
  <si>
    <t>AD 19h 59m 36,0s ; Dec +22° 43′ 00″</t>
  </si>
  <si>
    <t>1 360 annees-lumiere</t>
  </si>
  <si>
    <t>2,5 annees-lumiere</t>
  </si>
  <si>
    <t>0°08′00″</t>
  </si>
  <si>
    <t>0°05′00″</t>
  </si>
  <si>
    <t>0,27 × 0,18 (0°08′00″ × 0°05′00″)</t>
  </si>
  <si>
    <t>-0.5</t>
  </si>
  <si>
    <t>aeh-m31-andromeda</t>
  </si>
  <si>
    <t>m31_andromeda</t>
  </si>
  <si>
    <t>M31</t>
  </si>
  <si>
    <t>Galaxie spirale</t>
  </si>
  <si>
    <t>AD 00h 42m 44,3s</t>
  </si>
  <si>
    <t>+41° 16′ 09″</t>
  </si>
  <si>
    <t>AD 00h 42m 44,3s ; Dec +41° 16′ 09″</t>
  </si>
  <si>
    <t>2 540 000 annees-lumiere</t>
  </si>
  <si>
    <t>220 000 annees-lumiere</t>
  </si>
  <si>
    <t>6,00 × 2,00 (3°00′00″ × 1°00′00″)</t>
  </si>
  <si>
    <t>-21.5</t>
  </si>
  <si>
    <t>aeh-m33-triangulum</t>
  </si>
  <si>
    <t>Galaxie du Triangle</t>
  </si>
  <si>
    <t>m33_triangulum</t>
  </si>
  <si>
    <t>M33</t>
  </si>
  <si>
    <t>Triangle</t>
  </si>
  <si>
    <t>AD 01h 33m 51,0s</t>
  </si>
  <si>
    <t>+30° 39′ 37″</t>
  </si>
  <si>
    <t>AD 01h 33m 51,0s ; Dec +30° 39′ 37″</t>
  </si>
  <si>
    <t>2 730 000 annees-lumiere</t>
  </si>
  <si>
    <t>60 000 annees-lumiere</t>
  </si>
  <si>
    <t>1°08′00″</t>
  </si>
  <si>
    <t>0°45′00″</t>
  </si>
  <si>
    <t>2,30 × 1,50 (1°08′00″ × 0°45′00″)</t>
  </si>
  <si>
    <t>-18.9</t>
  </si>
  <si>
    <t>aeh-m37-open-cluster</t>
  </si>
  <si>
    <t>M37</t>
  </si>
  <si>
    <t>m37_open_cluster</t>
  </si>
  <si>
    <t>AD 05h 52m 18,0s</t>
  </si>
  <si>
    <t>+32° 33′ 00″</t>
  </si>
  <si>
    <t>AD 05h 52m 18,0s ; Dec +32° 33′ 00″</t>
  </si>
  <si>
    <t>4 500 annees-lumiere</t>
  </si>
  <si>
    <t>25 annees-lumiere</t>
  </si>
  <si>
    <t>-5</t>
  </si>
  <si>
    <t>aeh-m38-open-cluster</t>
  </si>
  <si>
    <t>M38</t>
  </si>
  <si>
    <t>m38_open_cluster</t>
  </si>
  <si>
    <t>AD 05h 28m 42,0s</t>
  </si>
  <si>
    <t>+35° 51′ 00″</t>
  </si>
  <si>
    <t>AD 05h 28m 42,0s ; Dec +35° 51′ 00″</t>
  </si>
  <si>
    <t>4 200 annees-lumiere</t>
  </si>
  <si>
    <t>0°21′00″</t>
  </si>
  <si>
    <t>0,68 × 0,68 (0°21′00″ × 0°21′00″)</t>
  </si>
  <si>
    <t>-4.2</t>
  </si>
  <si>
    <t>aeh-m39-open-cluster</t>
  </si>
  <si>
    <t>M39</t>
  </si>
  <si>
    <t>m39_open_cluster</t>
  </si>
  <si>
    <t>AD 21h 31m 48,0s</t>
  </si>
  <si>
    <t>+48° 26′ 00″</t>
  </si>
  <si>
    <t>AD 21h 31m 48,0s ; Dec +48° 26′ 00″</t>
  </si>
  <si>
    <t>1 010 annees-lumiere</t>
  </si>
  <si>
    <t>7 annees-lumiere</t>
  </si>
  <si>
    <t>0°32′00″</t>
  </si>
  <si>
    <t>1,03 × 1,03 (0°32′00″ × 0°32′00″)</t>
  </si>
  <si>
    <t>aeh-m41-open-cluster</t>
  </si>
  <si>
    <t>M41</t>
  </si>
  <si>
    <t>m41_open_cluster</t>
  </si>
  <si>
    <t>Grand Chien</t>
  </si>
  <si>
    <t>AD 06h 47m 00,0s</t>
  </si>
  <si>
    <t>-20° 44′ 00″</t>
  </si>
  <si>
    <t>AD 06h 47m 00,0s ; Dec -20° 44′ 00″</t>
  </si>
  <si>
    <t>2 300 annees-lumiere</t>
  </si>
  <si>
    <t>0°38′00″</t>
  </si>
  <si>
    <t>1,23 × 1,23 (0°38′00″ × 0°38′00″)</t>
  </si>
  <si>
    <t>aeh-m42-orion-nebula</t>
  </si>
  <si>
    <t>m42_orion_nebula</t>
  </si>
  <si>
    <t>M42</t>
  </si>
  <si>
    <t>Nebuleuse par emission et reflexion</t>
  </si>
  <si>
    <t>AD 05h 35m 17,3s</t>
  </si>
  <si>
    <t>-05° 23′ 28″</t>
  </si>
  <si>
    <t>AD 05h 35m 17,3s ; Dec -05° 23′ 28″</t>
  </si>
  <si>
    <t>1 344 annees-lumiere</t>
  </si>
  <si>
    <t>24 annees-lumiere</t>
  </si>
  <si>
    <t>1°05′00″</t>
  </si>
  <si>
    <t>2,10 × 1,94 (1°05′00″ × 1°00′00″)</t>
  </si>
  <si>
    <t>-4.1</t>
  </si>
  <si>
    <t>aeh-m45-pleiades</t>
  </si>
  <si>
    <t>m45_pleiades</t>
  </si>
  <si>
    <t>M45</t>
  </si>
  <si>
    <t>AD 03h 47m 24,0s</t>
  </si>
  <si>
    <t>+24° 07′ 00″</t>
  </si>
  <si>
    <t>AD 03h 47m 24,0s ; Dec +24° 07′ 00″</t>
  </si>
  <si>
    <t>444 annees-lumiere</t>
  </si>
  <si>
    <t>17,5 annees-lumiere</t>
  </si>
  <si>
    <t>1°50′00″</t>
  </si>
  <si>
    <t>3,67 × 3,67 (1°50′00″ × 1°50′00″)</t>
  </si>
  <si>
    <t>-1.6</t>
  </si>
  <si>
    <t>aeh-m46-open-cluster</t>
  </si>
  <si>
    <t>M46</t>
  </si>
  <si>
    <t>m46_open_cluster</t>
  </si>
  <si>
    <t>Poupe</t>
  </si>
  <si>
    <t>AD 07h 41m 46,0s</t>
  </si>
  <si>
    <t>-14° 49′ 00″</t>
  </si>
  <si>
    <t>AD 07h 41m 46,0s ; Dec -14° 49′ 00″</t>
  </si>
  <si>
    <t>4 900 annees-lumiere</t>
  </si>
  <si>
    <t>0°27′00″</t>
  </si>
  <si>
    <t>0,87 × 0,87 (0°27′00″ × 0°27′00″)</t>
  </si>
  <si>
    <t>-6.1</t>
  </si>
  <si>
    <t>aeh-m57-ring</t>
  </si>
  <si>
    <t>m57_ring</t>
  </si>
  <si>
    <t>M57</t>
  </si>
  <si>
    <t>AD 18h 53m 35,0s</t>
  </si>
  <si>
    <t>+33° 02′ 00″</t>
  </si>
  <si>
    <t>AD 18h 53m 35,0s ; Dec +33° 02′ 00″</t>
  </si>
  <si>
    <t>1,3 annees-lumiere</t>
  </si>
  <si>
    <t>0°01′24″</t>
  </si>
  <si>
    <t>0°01′12″</t>
  </si>
  <si>
    <t>0,05 × 0,04 (0°01′24″ × 0°01′12″)</t>
  </si>
  <si>
    <t>0.7</t>
  </si>
  <si>
    <t>aeh-m6-butterfly</t>
  </si>
  <si>
    <t>Amas du Papillon</t>
  </si>
  <si>
    <t>m6_butterfly_cluster</t>
  </si>
  <si>
    <t>M6</t>
  </si>
  <si>
    <t>Scorpion</t>
  </si>
  <si>
    <t>AD 17h 40m 12,0s</t>
  </si>
  <si>
    <t>-32° 13′ 00″</t>
  </si>
  <si>
    <t>AD 17h 40m 12,0s ; Dec -32° 13′ 00″</t>
  </si>
  <si>
    <t>1 600 annees-lumiere</t>
  </si>
  <si>
    <t>0°25′00″</t>
  </si>
  <si>
    <t>0,81 × 0,81 (0°25′00″ × 0°25′00″)</t>
  </si>
  <si>
    <t>-5.6</t>
  </si>
  <si>
    <t>aeh-m8-lagoon</t>
  </si>
  <si>
    <t>Nebuleuse de la Lagune</t>
  </si>
  <si>
    <t>m8_lagoon_nebula</t>
  </si>
  <si>
    <t>M8</t>
  </si>
  <si>
    <t>AD 18h 03m 37,0s</t>
  </si>
  <si>
    <t>-24° 23′ 12″</t>
  </si>
  <si>
    <t>AD 18h 03m 37,0s ; Dec -24° 23′ 12″</t>
  </si>
  <si>
    <t>4 100 annees-lumiere</t>
  </si>
  <si>
    <t>110 annees-lumiere</t>
  </si>
  <si>
    <t>1°30′00″</t>
  </si>
  <si>
    <t>2,90 × 1,29 (1°30′00″ × 0°40′00″)</t>
  </si>
  <si>
    <t>-6</t>
  </si>
  <si>
    <t>aeh-m81-bode</t>
  </si>
  <si>
    <t>Galaxie de Bode</t>
  </si>
  <si>
    <t>m81_bode</t>
  </si>
  <si>
    <t>M81</t>
  </si>
  <si>
    <t>Grande Ourse</t>
  </si>
  <si>
    <t>AD 09h 55m 33,0s</t>
  </si>
  <si>
    <t>+69° 04′ 00″</t>
  </si>
  <si>
    <t>AD 09h 55m 33,0s ; Dec +69° 04′ 00″</t>
  </si>
  <si>
    <t>11 700 000 annees-lumiere</t>
  </si>
  <si>
    <t>90 000 annees-lumiere</t>
  </si>
  <si>
    <t>0°26′00″</t>
  </si>
  <si>
    <t>0°12′30″</t>
  </si>
  <si>
    <t>0,88 × 0,42 (0°26′00″ × 0°12′30″)</t>
  </si>
  <si>
    <t>-20.8</t>
  </si>
  <si>
    <t>aeh-m82-cigar</t>
  </si>
  <si>
    <t>Galaxie du Cigare</t>
  </si>
  <si>
    <t>m82_cigar</t>
  </si>
  <si>
    <t>M82</t>
  </si>
  <si>
    <t>Galaxie irreguliere</t>
  </si>
  <si>
    <t>AD 09h 55m 53,0s</t>
  </si>
  <si>
    <t>+69° 41′ 00″</t>
  </si>
  <si>
    <t>AD 09h 55m 53,0s ; Dec +69° 41′ 00″</t>
  </si>
  <si>
    <t>12 000 000 annees-lumiere</t>
  </si>
  <si>
    <t>37 000 annees-lumiere</t>
  </si>
  <si>
    <t>0°11′00″</t>
  </si>
  <si>
    <t>0°04′30″</t>
  </si>
  <si>
    <t>0,37 × 0,15 (0°11′00″ × 0°04′30″)</t>
  </si>
  <si>
    <t>-20</t>
  </si>
  <si>
    <t>aeh-mira</t>
  </si>
  <si>
    <t>Mira</t>
  </si>
  <si>
    <t>mira</t>
  </si>
  <si>
    <t>Omicron Ceti</t>
  </si>
  <si>
    <t>Etoile variable a longue periode</t>
  </si>
  <si>
    <t>Baleine</t>
  </si>
  <si>
    <t>AD 02h 19m 21,0s</t>
  </si>
  <si>
    <t>-02° 58′ 40″</t>
  </si>
  <si>
    <t>AD 02h 19m 21,0s ; Dec -02° 58′ 40″</t>
  </si>
  <si>
    <t>300 annees-lumiere</t>
  </si>
  <si>
    <t>0,001 annee-lumiere</t>
  </si>
  <si>
    <t>-0.6</t>
  </si>
  <si>
    <t>aeh-mizar-alcor</t>
  </si>
  <si>
    <t>Mizar et Alcor</t>
  </si>
  <si>
    <t>mizar_alcor</t>
  </si>
  <si>
    <t>Zeta UMa + 80 UMa</t>
  </si>
  <si>
    <t>Double visuelle</t>
  </si>
  <si>
    <t>AD 13h 24m 00,0s</t>
  </si>
  <si>
    <t>+54° 56′ 00″</t>
  </si>
  <si>
    <t>AD 13h 24m 00,0s ; Dec +54° 56′ 00″</t>
  </si>
  <si>
    <t>83 annees-lumiere</t>
  </si>
  <si>
    <t>0,007 annee-lumiere</t>
  </si>
  <si>
    <t>aeh-ngc7000</t>
  </si>
  <si>
    <t>ngc7000_north_america</t>
  </si>
  <si>
    <t>NGC</t>
  </si>
  <si>
    <t>NGC 7000</t>
  </si>
  <si>
    <t>AD 20h 58m 54,0s</t>
  </si>
  <si>
    <t>+44° 20′ 00″</t>
  </si>
  <si>
    <t>AD 20h 58m 54,0s ; Dec +44° 20′ 00″</t>
  </si>
  <si>
    <t>2 200 annees-lumiere</t>
  </si>
  <si>
    <t>1°45′00″</t>
  </si>
  <si>
    <t>4,00 × 3,50 (2°00′00″ × 1°45′00″)</t>
  </si>
  <si>
    <t>aeh-orion-constellation</t>
  </si>
  <si>
    <t>orion_constellation</t>
  </si>
  <si>
    <t>ORI</t>
  </si>
  <si>
    <t>AD 05h 30m 00,0s</t>
  </si>
  <si>
    <t>+05° 00′ 00″</t>
  </si>
  <si>
    <t>AD 05h 30m 00,0s ; Dec +05° 00′ 00″</t>
  </si>
  <si>
    <t>8°00′00″</t>
  </si>
  <si>
    <t>7°30′00″</t>
  </si>
  <si>
    <t>16,00 × 15,00 (8°00′00″ × 7°30′00″)</t>
  </si>
  <si>
    <t>aeh-perseids</t>
  </si>
  <si>
    <t>perseids_meteor_shower</t>
  </si>
  <si>
    <t>PER</t>
  </si>
  <si>
    <t>AD 03h 04m 00,0s</t>
  </si>
  <si>
    <t>+58° 00′ 00″</t>
  </si>
  <si>
    <t>AD 03h 04m 00,0s ; Dec +58° 00′ 00″</t>
  </si>
  <si>
    <t>aeh-persee-constellation</t>
  </si>
  <si>
    <t>perseus_constellation</t>
  </si>
  <si>
    <t>AD 03h 10m 00,0s</t>
  </si>
  <si>
    <t>+45° 00′ 00″</t>
  </si>
  <si>
    <t>AD 03h 10m 00,0s ; Dec +45° 00′ 00″</t>
  </si>
  <si>
    <t>15,48 × 11,61 (8°00′00″ × 6°00′00″)</t>
  </si>
  <si>
    <t>aeh-polaris</t>
  </si>
  <si>
    <t>polaris</t>
  </si>
  <si>
    <t>Alpha Ursae Minoris</t>
  </si>
  <si>
    <t>Supergeante jaune</t>
  </si>
  <si>
    <t>Petite Ourse</t>
  </si>
  <si>
    <t>Toute annee</t>
  </si>
  <si>
    <t>AD 02h 31m 49,0s</t>
  </si>
  <si>
    <t>+89° 15′ 51″</t>
  </si>
  <si>
    <t>AD 02h 31m 49,0s ; Dec +89° 15′ 51″</t>
  </si>
  <si>
    <t>433 annees-lumiere</t>
  </si>
  <si>
    <t>0,0005 annee-lumiere</t>
  </si>
  <si>
    <t>-3.6</t>
  </si>
  <si>
    <t>aeh-sirius</t>
  </si>
  <si>
    <t>Sirius</t>
  </si>
  <si>
    <t>sirius</t>
  </si>
  <si>
    <t>Alpha Canis Majoris</t>
  </si>
  <si>
    <t>Etoile binaire</t>
  </si>
  <si>
    <t>AD 06h 45m 08,9s</t>
  </si>
  <si>
    <t>-16° 42′ 58″</t>
  </si>
  <si>
    <t>AD 06h 45m 08,9s ; Dec -16° 42′ 58″</t>
  </si>
  <si>
    <t>8,6 annees-lumiere</t>
  </si>
  <si>
    <t>0,00000025 annee-lumiere</t>
  </si>
  <si>
    <t>1.42</t>
  </si>
  <si>
    <t>aeh-grande-ourse</t>
  </si>
  <si>
    <t>ursa_major_constellation</t>
  </si>
  <si>
    <t>UMA</t>
  </si>
  <si>
    <t>AD 11h 00m 00,0s</t>
  </si>
  <si>
    <t>+56° 00′ 00″</t>
  </si>
  <si>
    <t>AD 11h 00m 00,0s ; Dec +56° 00′ 00″</t>
  </si>
  <si>
    <t>12°00′00″</t>
  </si>
  <si>
    <t>23,23 × 15,48 (12°00′00″ × 8°00′00″)</t>
  </si>
  <si>
    <t>GlobalSettings</t>
  </si>
  <si>
    <t>cardsPerDraw</t>
  </si>
  <si>
    <t>drawCooldownHours</t>
  </si>
  <si>
    <t>VariantProfiles</t>
  </si>
  <si>
    <t>category</t>
  </si>
  <si>
    <t>code</t>
  </si>
  <si>
    <t>label</t>
  </si>
  <si>
    <t>weight</t>
  </si>
  <si>
    <t>probability</t>
  </si>
  <si>
    <t>meanPacks</t>
  </si>
  <si>
    <t>meanDays</t>
  </si>
  <si>
    <t>skyQuality</t>
  </si>
  <si>
    <t>city</t>
  </si>
  <si>
    <t>Ville</t>
  </si>
  <si>
    <t>suburban</t>
  </si>
  <si>
    <t>Periurbain</t>
  </si>
  <si>
    <t>rural</t>
  </si>
  <si>
    <t>Campagne</t>
  </si>
  <si>
    <t>mountain</t>
  </si>
  <si>
    <t>Montagne</t>
  </si>
  <si>
    <t>finish</t>
  </si>
  <si>
    <t>standard</t>
  </si>
  <si>
    <t>Standard</t>
  </si>
  <si>
    <t>holographic</t>
  </si>
  <si>
    <t>Holographique</t>
  </si>
  <si>
    <t>RaritySummary</t>
  </si>
  <si>
    <t>cardCount</t>
  </si>
  <si>
    <t>totalWeight</t>
  </si>
  <si>
    <t>rarityProbability</t>
  </si>
  <si>
    <t>baseCardWeight</t>
  </si>
  <si>
    <t>Cards</t>
  </si>
  <si>
    <t>rarityPerDays</t>
  </si>
  <si>
    <t>probabilityPerDay</t>
  </si>
  <si>
    <t>unnormedDrawWeight</t>
  </si>
  <si>
    <t>normalisedDrawWeight</t>
  </si>
  <si>
    <t>villeMeanPerDay</t>
  </si>
  <si>
    <t>suburbanMeanPerDay</t>
  </si>
  <si>
    <t>ruralMeanPerDay</t>
  </si>
  <si>
    <t>mountainMeanPerDay</t>
  </si>
  <si>
    <t>commonPerDay</t>
  </si>
  <si>
    <t>uncommonPerDay</t>
  </si>
  <si>
    <t>rarePerDay</t>
  </si>
  <si>
    <t>epicPerDay</t>
  </si>
  <si>
    <t>epicHoloMeanDays</t>
  </si>
  <si>
    <t>rareHoloMeanDays</t>
  </si>
  <si>
    <t>uncommonHoloMeanDays</t>
  </si>
  <si>
    <t>commonHoloMeanDays</t>
  </si>
  <si>
    <t>cityMD</t>
  </si>
  <si>
    <t>periMD</t>
  </si>
  <si>
    <t>campMD</t>
  </si>
  <si>
    <t>montMD</t>
  </si>
  <si>
    <t>cardsPerDay</t>
  </si>
  <si>
    <t>Voiles lumineux polaires spectaculaires, célèbres pour leurs couleurs mouvantes.</t>
  </si>
  <si>
    <t>Astérisme amusant en forme de cintre, facile à observer aux jumelles sous un bon ciel.</t>
  </si>
  <si>
    <t>Comète très médiatisée en 2020, connue pour sa belle queue visible à l'oeil nu.</t>
  </si>
  <si>
    <t>Grande constellation en croix, bien visible l'été le long de la Voie lactée.</t>
  </si>
  <si>
    <t>Constellation marquée par Castor et Pollux, facile à identifier en hiver.</t>
  </si>
  <si>
    <t>Pluie d'étoiles filantes très active de décembre, connue pour ses nombreux météores brillants.</t>
  </si>
  <si>
    <t>Comète la plus célèbre du ciel, connue pour revenir environ tous les 76 ans.</t>
  </si>
  <si>
    <t>Petite constellation facile à retrouver grâce à Véga, très connue en été.</t>
  </si>
  <si>
    <t>Amas globulaire très connu de l'hémisphère nord, facile à trouver entre les étoiles d'Hercule.</t>
  </si>
  <si>
    <t>Nébuleuse planétaire célèbre pour sa forme d'haltère, accessible avec un petit télescope.</t>
  </si>
  <si>
    <t>Amas ouvert facile à trouver sous Sirius, joli aux jumelles.</t>
  </si>
  <si>
    <t>Nébuleuse planétaire fameuse pour son anneau, facile à localiser entre les étoiles de la Lyre.</t>
  </si>
  <si>
    <t>Grande nébuleuse du Sagittaire, très connue et facile à repérer dans la Voie lactée estivale.</t>
  </si>
  <si>
    <t>Grande galaxie spirale bien connue, souvent observée avec M82 dans le même champ.</t>
  </si>
  <si>
    <t>Galaxie célèbre pour sa forme allongée et son aspect contrasté, souvent observée avec M81.</t>
  </si>
  <si>
    <t>Étoile variable célèbre dont l'éclat change fortement, connue depuis des siècles.</t>
  </si>
  <si>
    <t>Constellation très reconnaissable grâce à sa ceinture de trois étoiles alignées, idéale pour débuter.</t>
  </si>
  <si>
    <t>Constellation du nord célèbre pour le Double Amas et les Perséides.</t>
  </si>
  <si>
    <t>Étoile la plus brillante du ciel nocturne, très facile à repérer en hiver.</t>
  </si>
  <si>
    <t>Constellation très célèbre avec la Grande Casserole, idéale pour apprendre le ciel.</t>
  </si>
  <si>
    <t>percentCommonPerDay</t>
  </si>
  <si>
    <t>percentUncommonPerDay</t>
  </si>
  <si>
    <t>percentRarePerDay</t>
  </si>
  <si>
    <t>percentEpicPerDay</t>
  </si>
  <si>
    <t>equipmentCardId</t>
  </si>
  <si>
    <t>equipmentType</t>
  </si>
  <si>
    <t>displayName</t>
  </si>
  <si>
    <t>level</t>
  </si>
  <si>
    <t>packsAffected</t>
  </si>
  <si>
    <t>bonusValue</t>
  </si>
  <si>
    <t>bonusUnit</t>
  </si>
  <si>
    <t>dropWeight</t>
  </si>
  <si>
    <t>description</t>
  </si>
  <si>
    <t>observatory-beginner</t>
  </si>
  <si>
    <t>observatory</t>
  </si>
  <si>
    <t>equipment_observatory_1</t>
  </si>
  <si>
    <t>rechargeMultiplier</t>
  </si>
  <si>
    <t>observatory-advanced</t>
  </si>
  <si>
    <t>equipment_observatory_2</t>
  </si>
  <si>
    <t>Maintient une recharge plus rapide pendant plusieurs packs.</t>
  </si>
  <si>
    <t>observatory-master</t>
  </si>
  <si>
    <t>equipment_observatory_3</t>
  </si>
  <si>
    <t>telescope-beginner</t>
  </si>
  <si>
    <t>telescope</t>
  </si>
  <si>
    <t>equipment_telescope_1</t>
  </si>
  <si>
    <t>telescope-advanced</t>
  </si>
  <si>
    <t>equipment_telescope_2</t>
  </si>
  <si>
    <t>Renforce sensiblement l'apparition des cartes holographiques.</t>
  </si>
  <si>
    <t>telescope-master</t>
  </si>
  <si>
    <t>equipment_telescope_3</t>
  </si>
  <si>
    <t>mount-beginner</t>
  </si>
  <si>
    <t>mount</t>
  </si>
  <si>
    <t>equipment_mount_1</t>
  </si>
  <si>
    <t>rarityBoost</t>
  </si>
  <si>
    <t>mount-advanced</t>
  </si>
  <si>
    <t>equipment_mount_2</t>
  </si>
  <si>
    <t>mount-master</t>
  </si>
  <si>
    <t>equipment_mount_3</t>
  </si>
  <si>
    <t>EquipmentChancePercent</t>
  </si>
  <si>
    <t>Albiréo</t>
  </si>
  <si>
    <t>Belle étoile double bleu et jaune, formant la tête de la constellation du Cygne.</t>
  </si>
  <si>
    <t>Étoile variable célèbre car sa période est de 3 jours. Ses changements de luminosités sont donc faciles à suivre au fil des nuits.</t>
  </si>
  <si>
    <t>Étoile double colorée très connue car la deuxième étoile du système est également une étoile double !</t>
  </si>
  <si>
    <t>Altaïr</t>
  </si>
  <si>
    <t>Étoile brillante du Triangle d'été, au centre de la tête de « l’Aigle Volant ».</t>
  </si>
  <si>
    <t>Andromède</t>
  </si>
  <si>
    <t>Constellation formant les pates arrières de Pégase, connue pour habriter la galaxie d'Andromède.</t>
  </si>
  <si>
    <t>Géante rouge qui proviendrait d'une petite galaxie qui serait entrée en collision et aurait fusionné avec la Voie lactée il y a 5 à 8 milliards d'années.</t>
  </si>
  <si>
    <t>Aurore boréale</t>
  </si>
  <si>
    <t>Bételgeuse</t>
  </si>
  <si>
    <t>Supergéante rouge célèbre par sa luminosité et sa couleur orange, facile à remarquer à l'œil nu dans la constellation d'Orion.</t>
  </si>
  <si>
    <t>De la constellation du Cocher, c'est la quatrième étoile la plus brillante du ciel du Nord après Sirius, Arcturus et Véga.</t>
  </si>
  <si>
    <t>Cassiopée</t>
  </si>
  <si>
    <t>Constellation en forme de W, elle fait partie des "circumpolaires" : les constellations qui ne se couchent jamais.</t>
  </si>
  <si>
    <t>Comète C/2020 F3 NEOWISE</t>
  </si>
  <si>
    <t>Double Amas de Persée</t>
  </si>
  <si>
    <t>Deux amas d'étoiles serrés l'un contre l'autre, célèbres pour leur beau rendu aux jumelles.</t>
  </si>
  <si>
    <t>Gémeaux</t>
  </si>
  <si>
    <t>Géminides</t>
  </si>
  <si>
    <t>Comète de Halley</t>
  </si>
  <si>
    <t>Nymphes des pluies dans la mythologie grec, c'est un grand amas d'étoiles  dans la constellation du Taureau formant un V, très facile à voir à l'oeil nu.</t>
  </si>
  <si>
    <t>Léonides</t>
  </si>
  <si>
    <t>Pluie d'étoiles filantes de novembre dont le radiant se trouve dans la constellation du Lion.</t>
  </si>
  <si>
    <t>Amas ouvert très dense, célèbre pour son aspect compact dans des jumelles.</t>
  </si>
  <si>
    <t>Nébuleuse de l'Aigle</t>
  </si>
  <si>
    <t>Amas d'étoiles et nébuleuse au centre de laquelle se trouve les Piliers de la Création.</t>
  </si>
  <si>
    <t>Nébuleuse Oméga</t>
  </si>
  <si>
    <t>Nébuleuse brillante de la Voie lactée d'été dont la forme se rapproche de la lettre grec Ω ou d'un fer à cheval.</t>
  </si>
  <si>
    <t>Un des plus beaux amas globulaires du ciel, brillant et facile à trouver.</t>
  </si>
  <si>
    <t>Nuage Stellaire du Sagittaire</t>
  </si>
  <si>
    <t>Zone très riche de la Voie lactée, ce n'est pas un véritablement un amas d'étoiles et est souvent considéré comme une erreur du Catalogue de Messier.</t>
  </si>
  <si>
    <t>Nébuleuse de l'Haltère</t>
  </si>
  <si>
    <t>Galaxie d'Andromède</t>
  </si>
  <si>
    <t>Grande galaxie voisine de la Voie lactée, c'est l'objet le plus lointain qui est visible à l'oeil nu sous un bon ciel.</t>
  </si>
  <si>
    <t>Grande galaxie voisine du Groupe local, célèbre mais plus difficile à voir que M31 (galaxie d'Andromède).</t>
  </si>
  <si>
    <t>Amas d'étoiles ouvert riche et serré, souvent considéré comme le plus beau trio du Cocher.</t>
  </si>
  <si>
    <t>Amas d'étoiles ouvert large du Cocher, facile à compléter avec M36 et M37.</t>
  </si>
  <si>
    <t>Amas d'étoiles ouvert large et détendu, facile aux jumelles dans le Cygne.</t>
  </si>
  <si>
    <t>Nébuleuse d'Orion</t>
  </si>
  <si>
    <t>Nébuleuse très célèbre sous la ceinture d'Orion et visible à l'œil nu. Elle est une cible privilégiée pour les astronomes débutants.</t>
  </si>
  <si>
    <t>Pléïades</t>
  </si>
  <si>
    <t>Aussi appelé "Sept Sœurs" par les anglophones, on dit que cet amas d'étoiles ouvert servait de test d'acuité visuel dans l'Antiquité.</t>
  </si>
  <si>
    <t>Amas d'étoiles ouvert partageant le ciel avec un nébuleuse planétaire. Elles ne sont cependant pas physiquement au même endroit.</t>
  </si>
  <si>
    <t>Nébuleuse de la Lyre</t>
  </si>
  <si>
    <t>Amas ouvert célèbre pour sa forme de papillon.</t>
  </si>
  <si>
    <t>Nébuleuse de la Lagune</t>
  </si>
  <si>
    <t>Couple d'étoiles célèbre, visible à l'oeil nu, longtemps utilisé pour tester la vue.</t>
  </si>
  <si>
    <t>Nébuleuse de l'Amerique du Nord</t>
  </si>
  <si>
    <t>Grande nébuleuse connue pour sa forme rappelant l'Amérique du Nord, surtout belle en photo.</t>
  </si>
  <si>
    <t>Perséïdes</t>
  </si>
  <si>
    <t>Pluie d'étoiles filantes très populaire d'août.</t>
  </si>
  <si>
    <t>Persée</t>
  </si>
  <si>
    <t>Étoile Polaire</t>
  </si>
  <si>
    <t>Étoile proche du pôle nord céleste, connue car elle indique le nord.</t>
  </si>
  <si>
    <t>Accélère légèrement la recharge des packs.</t>
  </si>
  <si>
    <t>Double la vitesse de recharge pour une courte série de packs.</t>
  </si>
  <si>
    <t>Ajoute une petite chance holographique supplémentaire.</t>
  </si>
  <si>
    <t>Offre une forte poussée holographique sur les prochains packs.</t>
  </si>
  <si>
    <t>Ajoute une chance modérée de promouvoir une carte d'un palier.</t>
  </si>
  <si>
    <t>Augmente davantage la probabilité de gagner en rareté.</t>
  </si>
  <si>
    <t>Abri d'observation</t>
  </si>
  <si>
    <t>Dôme motorisé</t>
  </si>
  <si>
    <t>Observatoire de recherche</t>
  </si>
  <si>
    <t>Newton</t>
  </si>
  <si>
    <t>Lunette apochromatique</t>
  </si>
  <si>
    <t>Ritchey-Chrétien</t>
  </si>
  <si>
    <t>Monture Alt-Az</t>
  </si>
  <si>
    <t>Monture équatoriale</t>
  </si>
  <si>
    <t>Monture harmonique</t>
  </si>
  <si>
    <t>percentStampMeanPerDay</t>
  </si>
  <si>
    <t>stampMeanPerDay</t>
  </si>
  <si>
    <t>unstampMeanPerDay</t>
  </si>
  <si>
    <t>holoMeanPerDay</t>
  </si>
  <si>
    <t>cityStampMD</t>
  </si>
  <si>
    <t>periStampMD</t>
  </si>
  <si>
    <t>campStampMD</t>
  </si>
  <si>
    <t>montStampMD</t>
  </si>
  <si>
    <t>holoMD</t>
  </si>
  <si>
    <t>holoStampMD</t>
  </si>
  <si>
    <t>holographicSkyPercent</t>
  </si>
  <si>
    <t>Améliore grandement la probabilité de gagner en rareté.</t>
  </si>
  <si>
    <t>systeme-solaire</t>
  </si>
  <si>
    <t>Système solaire</t>
  </si>
  <si>
    <t>cover_systeme_solaire</t>
  </si>
  <si>
    <t>Mercure</t>
  </si>
  <si>
    <t>planet_mercury</t>
  </si>
  <si>
    <t>Planète</t>
  </si>
  <si>
    <t>solar_system</t>
  </si>
  <si>
    <t>Planète tellurique</t>
  </si>
  <si>
    <t>Vénus</t>
  </si>
  <si>
    <t>planet_venus</t>
  </si>
  <si>
    <t>Terre</t>
  </si>
  <si>
    <t>planet_earth</t>
  </si>
  <si>
    <t>Mars</t>
  </si>
  <si>
    <t>planet_mars</t>
  </si>
  <si>
    <t>Jupiter</t>
  </si>
  <si>
    <t>planet_jupiter</t>
  </si>
  <si>
    <t>Géante gazeuse</t>
  </si>
  <si>
    <t>Saturne</t>
  </si>
  <si>
    <t>planet_saturn</t>
  </si>
  <si>
    <t>Géante gazeuse annelée</t>
  </si>
  <si>
    <t>Uranus</t>
  </si>
  <si>
    <t>planet_uranus</t>
  </si>
  <si>
    <t>Géante de glace</t>
  </si>
  <si>
    <t>Neptune</t>
  </si>
  <si>
    <t>planet_neptune</t>
  </si>
  <si>
    <t>Cérès</t>
  </si>
  <si>
    <t>dwarf_ceres</t>
  </si>
  <si>
    <t>Planète naine</t>
  </si>
  <si>
    <t>Pluton</t>
  </si>
  <si>
    <t>dwarf_pluto</t>
  </si>
  <si>
    <t>Makémaké</t>
  </si>
  <si>
    <t>dwarf_makemake</t>
  </si>
  <si>
    <t>Éris</t>
  </si>
  <si>
    <t>dwarf_eris</t>
  </si>
  <si>
    <t>Lune</t>
  </si>
  <si>
    <t>moon_earth</t>
  </si>
  <si>
    <t>Satellite</t>
  </si>
  <si>
    <t>Luna</t>
  </si>
  <si>
    <t>Satellite naturel</t>
  </si>
  <si>
    <t>Phobos</t>
  </si>
  <si>
    <t>moon_phobos</t>
  </si>
  <si>
    <t>M I</t>
  </si>
  <si>
    <t>Satellite naturel martien</t>
  </si>
  <si>
    <t>Déimos</t>
  </si>
  <si>
    <t>moon_deimos</t>
  </si>
  <si>
    <t>M II</t>
  </si>
  <si>
    <t>Io</t>
  </si>
  <si>
    <t>moon_io</t>
  </si>
  <si>
    <t>J I</t>
  </si>
  <si>
    <t>Satellite galiléen</t>
  </si>
  <si>
    <t>Europe</t>
  </si>
  <si>
    <t>moon_europa</t>
  </si>
  <si>
    <t>J II</t>
  </si>
  <si>
    <t>Ganymède</t>
  </si>
  <si>
    <t>moon_ganymede</t>
  </si>
  <si>
    <t>J III</t>
  </si>
  <si>
    <t>Callisto</t>
  </si>
  <si>
    <t>moon_callisto</t>
  </si>
  <si>
    <t>J IV</t>
  </si>
  <si>
    <t>Titan</t>
  </si>
  <si>
    <t>moon_titan</t>
  </si>
  <si>
    <t>S VI</t>
  </si>
  <si>
    <t>Encelade</t>
  </si>
  <si>
    <t>moon_enceladus</t>
  </si>
  <si>
    <t>S II</t>
  </si>
  <si>
    <t>Mimas</t>
  </si>
  <si>
    <t>moon_mimas</t>
  </si>
  <si>
    <t>S I</t>
  </si>
  <si>
    <t>Rhéa</t>
  </si>
  <si>
    <t>moon_rhea</t>
  </si>
  <si>
    <t>S V</t>
  </si>
  <si>
    <t>Dioné</t>
  </si>
  <si>
    <t>moon_dione</t>
  </si>
  <si>
    <t>S IV</t>
  </si>
  <si>
    <t>Téthys</t>
  </si>
  <si>
    <t>moon_tethys</t>
  </si>
  <si>
    <t>S III</t>
  </si>
  <si>
    <t>Japet</t>
  </si>
  <si>
    <t>moon_iapetus</t>
  </si>
  <si>
    <t>S VIII</t>
  </si>
  <si>
    <t>Hypérion</t>
  </si>
  <si>
    <t>moon_hyperion</t>
  </si>
  <si>
    <t>S VII</t>
  </si>
  <si>
    <t>Satellite naturel chaotique</t>
  </si>
  <si>
    <t>Phœbé</t>
  </si>
  <si>
    <t>moon_phoebe</t>
  </si>
  <si>
    <t>S IX</t>
  </si>
  <si>
    <t>Satellite naturel irrégulier</t>
  </si>
  <si>
    <t>Titania</t>
  </si>
  <si>
    <t>moon_titania</t>
  </si>
  <si>
    <t>U III</t>
  </si>
  <si>
    <t>Ariel</t>
  </si>
  <si>
    <t>moon_ariel</t>
  </si>
  <si>
    <t>U I</t>
  </si>
  <si>
    <t>Umbriel</t>
  </si>
  <si>
    <t>moon_umbriel</t>
  </si>
  <si>
    <t>U II</t>
  </si>
  <si>
    <t>Miranda</t>
  </si>
  <si>
    <t>moon_miranda</t>
  </si>
  <si>
    <t>U V</t>
  </si>
  <si>
    <t>Triton</t>
  </si>
  <si>
    <t>moon_triton</t>
  </si>
  <si>
    <t>N I</t>
  </si>
  <si>
    <t>Néréide</t>
  </si>
  <si>
    <t>moon_nereid</t>
  </si>
  <si>
    <t>N II</t>
  </si>
  <si>
    <t>Amalthée</t>
  </si>
  <si>
    <t>moon_amalthea</t>
  </si>
  <si>
    <t>J V</t>
  </si>
  <si>
    <t>Satellite naturel intérieur</t>
  </si>
  <si>
    <t>Grande Tache rouge</t>
  </si>
  <si>
    <t>feature_great_red_spot</t>
  </si>
  <si>
    <t>Phénomène</t>
  </si>
  <si>
    <t>JUP-GRS</t>
  </si>
  <si>
    <t>Anticyclone géant</t>
  </si>
  <si>
    <t>Anneaux de Jupiter</t>
  </si>
  <si>
    <t>feature_jupiter_rings</t>
  </si>
  <si>
    <t>JUP-RING</t>
  </si>
  <si>
    <t>Système d’anneaux</t>
  </si>
  <si>
    <t>Aurores de Jupiter</t>
  </si>
  <si>
    <t>feature_jupiter_auroras</t>
  </si>
  <si>
    <t>JUP-AUR</t>
  </si>
  <si>
    <t>Aurores polaires</t>
  </si>
  <si>
    <t>Hexagone de Saturne</t>
  </si>
  <si>
    <t>feature_saturn_hexagon</t>
  </si>
  <si>
    <t>SAT-HEX</t>
  </si>
  <si>
    <t>Structure atmosphérique</t>
  </si>
  <si>
    <t>Geysers d’Encelade</t>
  </si>
  <si>
    <t>feature_enceladus_geysers</t>
  </si>
  <si>
    <t>ENC-GEY</t>
  </si>
  <si>
    <t>Panaches cryovolcaniques</t>
  </si>
  <si>
    <t>Mers de Titan</t>
  </si>
  <si>
    <t>feature_titan_seas</t>
  </si>
  <si>
    <t>TIT-SEA</t>
  </si>
  <si>
    <t>Mers d’hydrocarbures</t>
  </si>
  <si>
    <t>Olympus Mons</t>
  </si>
  <si>
    <t>feature_olympus_mons</t>
  </si>
  <si>
    <t>Relief</t>
  </si>
  <si>
    <t>MAR-OLY</t>
  </si>
  <si>
    <t>Volcan bouclier</t>
  </si>
  <si>
    <t>Valles Marineris</t>
  </si>
  <si>
    <t>feature_valles_marineris</t>
  </si>
  <si>
    <t>MAR-VAL</t>
  </si>
  <si>
    <t>Système de canyons</t>
  </si>
  <si>
    <t>Calottes polaires martiennes</t>
  </si>
  <si>
    <t>feature_mars_polar_caps</t>
  </si>
  <si>
    <t>MAR-POL</t>
  </si>
  <si>
    <t>Calottes polaires</t>
  </si>
  <si>
    <t>Bassin Caloris</t>
  </si>
  <si>
    <t>feature_caloris_basin</t>
  </si>
  <si>
    <t>MER-CAL</t>
  </si>
  <si>
    <t>Bassin d’impact</t>
  </si>
  <si>
    <t>PLU-HEA</t>
  </si>
  <si>
    <t>Plaine glacée</t>
  </si>
  <si>
    <t>Taches d’Occator</t>
  </si>
  <si>
    <t>feature_occator_bright_spots</t>
  </si>
  <si>
    <t>CER-OCC</t>
  </si>
  <si>
    <t>Dépôts brillants</t>
  </si>
  <si>
    <t>ss-mercury</t>
  </si>
  <si>
    <t>ss-venus</t>
  </si>
  <si>
    <t>ss-earth</t>
  </si>
  <si>
    <t>ss-mars</t>
  </si>
  <si>
    <t>ss-jupiter</t>
  </si>
  <si>
    <t>ss-saturn</t>
  </si>
  <si>
    <t>ss-uranus</t>
  </si>
  <si>
    <t>ss-neptune</t>
  </si>
  <si>
    <t>ss-ceres</t>
  </si>
  <si>
    <t>ss-pluto</t>
  </si>
  <si>
    <t>ss-makemake</t>
  </si>
  <si>
    <t>ss-eris</t>
  </si>
  <si>
    <t>ss-moon</t>
  </si>
  <si>
    <t>ss-phobos</t>
  </si>
  <si>
    <t>ss-deimos</t>
  </si>
  <si>
    <t>ss-io</t>
  </si>
  <si>
    <t>ss-europa</t>
  </si>
  <si>
    <t>ss-ganymede</t>
  </si>
  <si>
    <t>ss-callisto</t>
  </si>
  <si>
    <t>ss-titan</t>
  </si>
  <si>
    <t>ss-enceladus</t>
  </si>
  <si>
    <t>ss-mimas</t>
  </si>
  <si>
    <t>ss-rhea</t>
  </si>
  <si>
    <t>ss-dione</t>
  </si>
  <si>
    <t>ss-tethys</t>
  </si>
  <si>
    <t>ss-iapetus</t>
  </si>
  <si>
    <t>ss-hyperion</t>
  </si>
  <si>
    <t>ss-phoebe</t>
  </si>
  <si>
    <t>ss-titania</t>
  </si>
  <si>
    <t>ss-ariel</t>
  </si>
  <si>
    <t>ss-umbriel</t>
  </si>
  <si>
    <t>ss-miranda</t>
  </si>
  <si>
    <t>ss-triton</t>
  </si>
  <si>
    <t>ss-nereid</t>
  </si>
  <si>
    <t>ss-amalthea</t>
  </si>
  <si>
    <t>ss-great-red-spot</t>
  </si>
  <si>
    <t>ss-jupiter-rings</t>
  </si>
  <si>
    <t>ss-jupiter-auroras</t>
  </si>
  <si>
    <t>ss-saturn-hexagon</t>
  </si>
  <si>
    <t>ss-enceladus-geysers</t>
  </si>
  <si>
    <t>ss-titan-seas</t>
  </si>
  <si>
    <t>ss-olympus-mons</t>
  </si>
  <si>
    <t>ss-valles-marineris</t>
  </si>
  <si>
    <t>ss-mars-polar-caps</t>
  </si>
  <si>
    <t>ss-mercury-caloris</t>
  </si>
  <si>
    <t>ss-pluto-heart</t>
  </si>
  <si>
    <t>ss-ceres-occator</t>
  </si>
  <si>
    <t>Tombaugh Region</t>
  </si>
  <si>
    <t>feature_tombaugh_region</t>
  </si>
  <si>
    <t>Grande Tâche rouge</t>
  </si>
  <si>
    <t>Mont Olympe</t>
  </si>
  <si>
    <t>Région Tombaugh</t>
  </si>
  <si>
    <t>Tâches d’Occator</t>
  </si>
  <si>
    <t>ss-saturn-auroras</t>
  </si>
  <si>
    <t>Aurores de Saturne</t>
  </si>
  <si>
    <t>feature_saturn_auroras</t>
  </si>
  <si>
    <t>SAT-AUR</t>
  </si>
  <si>
    <t>Toute l'année</t>
  </si>
  <si>
    <t>AD variable</t>
  </si>
  <si>
    <t>Dec variable</t>
  </si>
  <si>
    <t>Position variable selon la date</t>
  </si>
  <si>
    <t>Plus petite planète du Système solaire et la plus proche du Soleil, Mercure présente de grands écarts de température.</t>
  </si>
  <si>
    <t>0,39 UA du Soleil</t>
  </si>
  <si>
    <t>4 879 km</t>
  </si>
  <si>
    <t>Variable / non applicable</t>
  </si>
  <si>
    <t>mag. -2,0 max.</t>
  </si>
  <si>
    <t>Planète très brillante au ciel du soir ou du matin, enveloppée d’une épaisse atmosphère riche en dioxyde de carbone.</t>
  </si>
  <si>
    <t>0,72 UA du Soleil</t>
  </si>
  <si>
    <t>12 104 km</t>
  </si>
  <si>
    <t>mag. -4,9 max.</t>
  </si>
  <si>
    <t>Notre planète, seule connue pour abriter la vie, avec des océans liquides et une atmosphère protectrice.</t>
  </si>
  <si>
    <t>1 UA du Soleil</t>
  </si>
  <si>
    <t>12 742 km</t>
  </si>
  <si>
    <t>Planète rouge aux calottes polaires, aux volcans géants et aux traces d’anciens écoulements d’eau.</t>
  </si>
  <si>
    <t>1,52 UA du Soleil</t>
  </si>
  <si>
    <t>6 779 km</t>
  </si>
  <si>
    <t>mag. -2,9 max.</t>
  </si>
  <si>
    <t>Plus grande planète du Système solaire, Jupiter domine par ses bandes nuageuses et ses nombreux satellites.</t>
  </si>
  <si>
    <t>5,2 UA du Soleil</t>
  </si>
  <si>
    <t>139 820 km</t>
  </si>
  <si>
    <t>Géante gazeuse célèbre pour son vaste système d’anneaux et ses nombreuses lunes glacées.</t>
  </si>
  <si>
    <t>9,58 UA du Soleil</t>
  </si>
  <si>
    <t>116 460 km</t>
  </si>
  <si>
    <t>mag. -0,5 max.</t>
  </si>
  <si>
    <t>Géante de glace inclinée sur le côté, à l’atmosphère bleu-vert dominée par l’hydrogène, l’hélium et le méthane.</t>
  </si>
  <si>
    <t>19,2 UA du Soleil</t>
  </si>
  <si>
    <t>50 724 km</t>
  </si>
  <si>
    <t>mag. 5,3 max.</t>
  </si>
  <si>
    <t>Planète géante de glace lointaine, connue pour ses vents extrêmement rapides et sa couleur bleue profonde.</t>
  </si>
  <si>
    <t>30,06 UA du Soleil</t>
  </si>
  <si>
    <t>49 244 km</t>
  </si>
  <si>
    <t>mag. 7,7 max.</t>
  </si>
  <si>
    <t>Plus grand objet de la ceinture d’astéroïdes, Cérès est une planète naine visitée par la sonde Dawn.</t>
  </si>
  <si>
    <t>2,77 UA du Soleil</t>
  </si>
  <si>
    <t>940 km</t>
  </si>
  <si>
    <t>mag. 6,7 max.</t>
  </si>
  <si>
    <t>Planète naine glacée de la ceinture de Kuiper, célèbre pour son survol par New Horizons et ses terrains contrastés.</t>
  </si>
  <si>
    <t>39,48 UA du Soleil</t>
  </si>
  <si>
    <t>2 377 km</t>
  </si>
  <si>
    <t>mag. 13,7 max.</t>
  </si>
  <si>
    <t>Planète naine lointaine de la ceinture de Kuiper, recouverte de glaces très froides riches en méthane.</t>
  </si>
  <si>
    <t>45,79 UA du Soleil</t>
  </si>
  <si>
    <t>~1 430 km</t>
  </si>
  <si>
    <t>mag. 16,7 max.</t>
  </si>
  <si>
    <t>Planète naine très lointaine dont la découverte a contribué à redéfinir le statut de Pluton.</t>
  </si>
  <si>
    <t>67,67 UA du Soleil</t>
  </si>
  <si>
    <t>2 326 km</t>
  </si>
  <si>
    <t>mag. 18,7 max.</t>
  </si>
  <si>
    <t>Satellite naturel de la Terre, la Lune rythme les phases visibles et domine le ciel nocturne lorsqu’elle est pleine.</t>
  </si>
  <si>
    <t>384 400 km de la Terre</t>
  </si>
  <si>
    <t>3 475 km</t>
  </si>
  <si>
    <t>mag. -12,7 max.</t>
  </si>
  <si>
    <t>Plus grand des deux satellites de Mars, Phobos orbite très près de la planète rouge.</t>
  </si>
  <si>
    <t>9 376 km de Mars</t>
  </si>
  <si>
    <t>~22,5 km</t>
  </si>
  <si>
    <t>mag. 11,3 max.</t>
  </si>
  <si>
    <t>Petit satellite externe de Mars, Déimos ressemble à un astéroïde sombre et irrégulier.</t>
  </si>
  <si>
    <t>23 463 km de Mars</t>
  </si>
  <si>
    <t>~12,4 km</t>
  </si>
  <si>
    <t>mag. 12,4 max.</t>
  </si>
  <si>
    <t>Lune galiléenne très volcanique, Io est sans doute le monde le plus actif géologiquement du Système solaire.</t>
  </si>
  <si>
    <t>421 700 km de Jupiter</t>
  </si>
  <si>
    <t>3 643 km</t>
  </si>
  <si>
    <t>mag. 5,0 max.</t>
  </si>
  <si>
    <t>Lune galiléenne glacée, Europe pourrait abriter un océan liquide sous sa croûte de glace.</t>
  </si>
  <si>
    <t>671 100 km de Jupiter</t>
  </si>
  <si>
    <t>3 122 km</t>
  </si>
  <si>
    <t>Plus grande lune du Système solaire, Ganymède est même plus grande que la planète Mercure.</t>
  </si>
  <si>
    <t>1 070 400 km de Jupiter</t>
  </si>
  <si>
    <t>5 268 km</t>
  </si>
  <si>
    <t>mag. 4,6 max.</t>
  </si>
  <si>
    <t>Lune galiléenne très cratérisée, Callisto conserve une surface ancienne marquée par les impacts.</t>
  </si>
  <si>
    <t>1 882 700 km de Jupiter</t>
  </si>
  <si>
    <t>4 821 km</t>
  </si>
  <si>
    <t>mag. 5,7 max.</t>
  </si>
  <si>
    <t>Plus grande lune de Saturne, Titan possède une atmosphère dense et des lacs d’hydrocarbures.</t>
  </si>
  <si>
    <t>1 221 870 km de Saturne</t>
  </si>
  <si>
    <t>5 150 km</t>
  </si>
  <si>
    <t>mag. 8,2 max.</t>
  </si>
  <si>
    <t>Petite lune glacée de Saturne, Encelade projette des panaches issus d’un océan souterrain probable.</t>
  </si>
  <si>
    <t>237 948 km de Saturne</t>
  </si>
  <si>
    <t>504 km</t>
  </si>
  <si>
    <t>mag. 11,7 max.</t>
  </si>
  <si>
    <t>Lune de Saturne reconnaissable à son immense cratère Herschel, qui lui donne un aspect très marqué.</t>
  </si>
  <si>
    <t>185 539 km de Saturne</t>
  </si>
  <si>
    <t>396 km</t>
  </si>
  <si>
    <t>mag. 12,9 max.</t>
  </si>
  <si>
    <t>Deuxième plus grande lune de Saturne, Rhéa est un monde glacé et fortement cratérisé.</t>
  </si>
  <si>
    <t>527 108 km de Saturne</t>
  </si>
  <si>
    <t>1 528 km</t>
  </si>
  <si>
    <t>mag. 9,7 max.</t>
  </si>
  <si>
    <t>Lune glacée de Saturne, Dioné montre des falaises claires et une surface marquée par de nombreux impacts.</t>
  </si>
  <si>
    <t>377 400 km de Saturne</t>
  </si>
  <si>
    <t>1 123 km</t>
  </si>
  <si>
    <t>mag. 10,4 max.</t>
  </si>
  <si>
    <t>Lune glacée de Saturne, Téthys est dominée par le grand bassin d’impact Odysseus.</t>
  </si>
  <si>
    <t>294 619 km de Saturne</t>
  </si>
  <si>
    <t>1 062 km</t>
  </si>
  <si>
    <t>mag. 10,2 max.</t>
  </si>
  <si>
    <t>Lune bicolore de Saturne, Japet possède une face très sombre et une face beaucoup plus claire.</t>
  </si>
  <si>
    <t>3 560 820 km de Saturne</t>
  </si>
  <si>
    <t>1 469 km</t>
  </si>
  <si>
    <t>Lune irrégulière de Saturne, Hypérion tourne de manière chaotique et présente une surface poreuse.</t>
  </si>
  <si>
    <t>1 481 100 km de Saturne</t>
  </si>
  <si>
    <t>~270 km</t>
  </si>
  <si>
    <t>mag. 14,2 max.</t>
  </si>
  <si>
    <t>Satellite irrégulier de Saturne, Phœbé orbite loin de la planète et dans le sens rétrograde.</t>
  </si>
  <si>
    <t>12 947 918 km de Saturne</t>
  </si>
  <si>
    <t>~213 km</t>
  </si>
  <si>
    <t>mag. 16,5 max.</t>
  </si>
  <si>
    <t>Plus grande lune d’Uranus, Titania présente des vallées et des fractures sur sa surface glacée.</t>
  </si>
  <si>
    <t>435 910 km de Uranus</t>
  </si>
  <si>
    <t>1 578 km</t>
  </si>
  <si>
    <t>mag. 13,9 max.</t>
  </si>
  <si>
    <t>Lune brillante d’Uranus, Ariel possède des canyons et des terrains relativement jeunes.</t>
  </si>
  <si>
    <t>190 900 km de Uranus</t>
  </si>
  <si>
    <t>1 158 km</t>
  </si>
  <si>
    <t>Lune sombre d’Uranus, Umbriel est très cratérisée et moins réfléchissante que ses voisines.</t>
  </si>
  <si>
    <t>266 000 km de Uranus</t>
  </si>
  <si>
    <t>1 169 km</t>
  </si>
  <si>
    <t>mag. 15,3 max.</t>
  </si>
  <si>
    <t>Petite lune d’Uranus, Miranda est célèbre pour ses terrains très contrastés et ses grandes falaises.</t>
  </si>
  <si>
    <t>129 900 km de Uranus</t>
  </si>
  <si>
    <t>472 km</t>
  </si>
  <si>
    <t>mag. 16,6 max.</t>
  </si>
  <si>
    <t>Grande lune de Neptune, Triton orbite en sens rétrograde et montre des traces d’activité cryovolcanique.</t>
  </si>
  <si>
    <t>354 759 km de Neptune</t>
  </si>
  <si>
    <t>2 707 km</t>
  </si>
  <si>
    <t>mag. 13,5 max.</t>
  </si>
  <si>
    <t>Satellite irrégulier de Neptune, Néréide suit une orbite très allongée autour de la planète.</t>
  </si>
  <si>
    <t>5 513 400 km de Neptune</t>
  </si>
  <si>
    <t>~340 km</t>
  </si>
  <si>
    <t>Petite lune intérieure de Jupiter, Amalthée est rougeâtre et orbite à l’intérieur du système galiléen.</t>
  </si>
  <si>
    <t>181 400 km de Jupiter</t>
  </si>
  <si>
    <t>~167 km</t>
  </si>
  <si>
    <t>mag. 14,1 max.</t>
  </si>
  <si>
    <t>Immense anticyclone de l’atmosphère de Jupiter, la Grande Tache rouge est observée depuis plusieurs siècles.</t>
  </si>
  <si>
    <t>sur Jupiter</t>
  </si>
  <si>
    <t>~16 000 km</t>
  </si>
  <si>
    <t>Système d’anneaux ténus et sombres autour de Jupiter, beaucoup plus discret que les anneaux de Saturne.</t>
  </si>
  <si>
    <t>autour de Jupiter</t>
  </si>
  <si>
    <t>~100 000 km</t>
  </si>
  <si>
    <t>Aurores polaires intenses alimentées par le champ magnétique de Jupiter et par son environnement de particules.</t>
  </si>
  <si>
    <t>~20 000 km</t>
  </si>
  <si>
    <t>Aurores polaires de Saturne, produites par l’interaction entre le vent solaire et sa magnétosphère.</t>
  </si>
  <si>
    <t>sur Saturne</t>
  </si>
  <si>
    <t>Structure nuageuse hexagonale autour du pôle nord de Saturne, liée à un courant-jet atmosphérique.</t>
  </si>
  <si>
    <t>~30 000 km</t>
  </si>
  <si>
    <t>Panaches de glace et de vapeur projetés près du pôle sud d’Encelade, reliés à son océan interne.</t>
  </si>
  <si>
    <t>sur Encelade</t>
  </si>
  <si>
    <t>~500 km</t>
  </si>
  <si>
    <t>Mers et lacs d’hydrocarbures liquides à la surface de Titan, surtout près de ses régions polaires.</t>
  </si>
  <si>
    <t>sur Titan</t>
  </si>
  <si>
    <t>~1 170 km</t>
  </si>
  <si>
    <t>Plus haut volcan connu du Système solaire, Olympus Mons domine la surface martienne.</t>
  </si>
  <si>
    <t>sur Mars</t>
  </si>
  <si>
    <t>~600 km</t>
  </si>
  <si>
    <t>Gigantesque système de canyons martiens, bien plus long et profond que le Grand Canyon terrestre.</t>
  </si>
  <si>
    <t>~4 000 km</t>
  </si>
  <si>
    <t>Calottes de glace d’eau et de dioxyde de carbone visibles aux pôles de Mars, changeant avec les saisons.</t>
  </si>
  <si>
    <t>~1 000 km</t>
  </si>
  <si>
    <t>Grand bassin d’impact de Mercure, formé par une collision majeure au début de l’histoire de la planète.</t>
  </si>
  <si>
    <t>sur Mercure</t>
  </si>
  <si>
    <t>~1 550 km</t>
  </si>
  <si>
    <t>Grande région claire en forme de cœur sur Pluton, dont une partie correspond à la plaine glacée Sputnik Planitia.</t>
  </si>
  <si>
    <t>sur Pluton</t>
  </si>
  <si>
    <t>~1 600 km</t>
  </si>
  <si>
    <t>Dépôts brillants du cratère Occator, probablement riches en sels laissés par une activité géologique passée.</t>
  </si>
  <si>
    <t>sur Cérès</t>
  </si>
  <si>
    <t>~92 km</t>
  </si>
  <si>
    <t>visualMagnitudeValue</t>
  </si>
  <si>
    <t>visualMagnitudeLabel</t>
  </si>
  <si>
    <t>3.08</t>
  </si>
  <si>
    <t>2.12</t>
  </si>
  <si>
    <t>2.1</t>
  </si>
  <si>
    <t>0.76</t>
  </si>
  <si>
    <t>-0.05</t>
  </si>
  <si>
    <t>0.42</t>
  </si>
  <si>
    <t>0.08</t>
  </si>
  <si>
    <t>3.6</t>
  </si>
  <si>
    <t>mag. 0,9 max. 2020</t>
  </si>
  <si>
    <t>3.7 / 3.8</t>
  </si>
  <si>
    <t>mag. 2,1 max. 1986</t>
  </si>
  <si>
    <t>0.5</t>
  </si>
  <si>
    <t>5.8</t>
  </si>
  <si>
    <t>6.4</t>
  </si>
  <si>
    <t>6.0</t>
  </si>
  <si>
    <t>5.1</t>
  </si>
  <si>
    <t>2.5</t>
  </si>
  <si>
    <t>7.4</t>
  </si>
  <si>
    <t>3.44</t>
  </si>
  <si>
    <t>5.72</t>
  </si>
  <si>
    <t>6.2</t>
  </si>
  <si>
    <t>4.6</t>
  </si>
  <si>
    <t>4.5</t>
  </si>
  <si>
    <t>4.0</t>
  </si>
  <si>
    <t>1.6</t>
  </si>
  <si>
    <t>8.8</t>
  </si>
  <si>
    <t>4.2</t>
  </si>
  <si>
    <t>6.94</t>
  </si>
  <si>
    <t>8.41</t>
  </si>
  <si>
    <t>6.53</t>
  </si>
  <si>
    <t>1.85</t>
  </si>
  <si>
    <t>2.02</t>
  </si>
  <si>
    <t>-1.46</t>
  </si>
  <si>
    <t>mag. -2,5 max.</t>
  </si>
  <si>
    <t>mag. 5,4 max.</t>
  </si>
  <si>
    <t>mag. 13,8 max.</t>
  </si>
  <si>
    <t>mag. 16,9 max.</t>
  </si>
  <si>
    <t>mag. 18,4 max.</t>
  </si>
  <si>
    <t>mag. -12,9 max.</t>
  </si>
  <si>
    <t>mag. 11,4 max.</t>
  </si>
  <si>
    <t>mag. 4,8 max.</t>
  </si>
  <si>
    <t>mag. 5,1 max.</t>
  </si>
  <si>
    <t>mag. 4,4 max.</t>
  </si>
  <si>
    <t>mag. 5,5 max.</t>
  </si>
  <si>
    <t>mag. 8,1 max.</t>
  </si>
  <si>
    <t>mag. 11,5 max.</t>
  </si>
  <si>
    <t>mag. 12,6 max.</t>
  </si>
  <si>
    <t>mag. 9,4 max.</t>
  </si>
  <si>
    <t>mag. 10,1 max.</t>
  </si>
  <si>
    <t>mag. 10,0 max.</t>
  </si>
  <si>
    <t>mag. 10,8 max.</t>
  </si>
  <si>
    <t>mag. 16,1 max.</t>
  </si>
  <si>
    <t>mag. 14,0 max.</t>
  </si>
  <si>
    <t>mag. 14,6 max.</t>
  </si>
  <si>
    <t>mag. 13,4 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</si>
</sst>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164" fontId="0" fillId="0" borderId="0" xfId="0" applyNumberFormat="1"/>
    <xf numFmtId="164" fontId="16" fillId="0" borderId="0" xfId="0" applyNumberFormat="1" applyFont="1"/>
    <xf numFmtId="0" fontId="0" fillId="33" borderId="0" xfId="0" applyFill="1"/>
    <xf numFmtId="2" fontId="0" fillId="33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36" borderId="0" xfId="0" applyFill="1"/>
    <xf numFmtId="2" fontId="0" fillId="36" borderId="0" xfId="0" applyNumberFormat="1" applyFill="1"/>
    <xf numFmtId="0" fontId="0" fillId="37" borderId="0" xfId="0" applyFill="1"/>
    <xf numFmtId="2" fontId="0" fillId="37" borderId="0" xfId="0" applyNumberFormat="1" applyFill="1"/>
    <xf numFmtId="0" fontId="0" fillId="38" borderId="0" xfId="0" applyFill="1"/>
    <xf numFmtId="2" fontId="0" fillId="0" borderId="0" xfId="0" applyNumberFormat="1"/>
    <xf numFmtId="0" fontId="0" fillId="0" borderId="0" xfId="0" applyAlignment="1">
      <alignment horizontal="right"/>
    </xf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6E9171-3232-47EC-BA2E-778CC8804D8D}" name="Table1" displayName="Table1" ref="A1:AV101" totalsRowShown="0">
  <autoFilter ref="A1:AV101" xr:uid="{766E9171-3232-47EC-BA2E-778CC8804D8D}"/>
  <tableColumns count="48">
    <tableColumn id="1" xr3:uid="{CF26DF04-235C-4543-9468-CBFEC3C5D050}" name="rowType"/>
    <tableColumn id="2" xr3:uid="{ADA284B2-47B5-4993-B053-72939A7D8D1D}" name="extensionId"/>
    <tableColumn id="3" xr3:uid="{1116EFE8-A680-430E-9CE0-9643A53DFCD5}" name="extensionName"/>
    <tableColumn id="4" xr3:uid="{ED8A91A7-FC84-4983-8587-48555CE968C5}" name="extensionCoverImageRef"/>
    <tableColumn id="5" xr3:uid="{14481FBD-7794-470C-98EE-DB16115E895A}" name="cardId"/>
    <tableColumn id="6" xr3:uid="{EDAFAE91-3728-4BCE-8731-3A388AB3D6CE}" name="name"/>
    <tableColumn id="7" xr3:uid="{EB2C964C-94C5-43F3-B539-DB5F01589AB8}" name="rarityLabel"/>
    <tableColumn id="8" xr3:uid="{83A11CE9-E64C-4642-996F-97F8F87D5643}" name="cardRarityMultiplier"/>
    <tableColumn id="9" xr3:uid="{1CA4B1AB-9EE2-4395-B821-6A333BF8A1D6}" name="imageRef"/>
    <tableColumn id="10" xr3:uid="{10CA68E7-9819-4309-8BE3-FB3E21B92391}" name="variantProfileId"/>
    <tableColumn id="11" xr3:uid="{C9C43666-94A8-4A37-BE5A-AE10DA5D5F71}" name="commonName"/>
    <tableColumn id="12" xr3:uid="{942DE373-5B2D-40DC-828C-896EB2E935F3}" name="primaryCatalogName"/>
    <tableColumn id="13" xr3:uid="{22E79B42-0846-416A-804A-721E6DE16430}" name="catalogNumber"/>
    <tableColumn id="14" xr3:uid="{8ABD57A8-BCA1-4345-BA12-A52CEE97ACC7}" name="objectFamily"/>
    <tableColumn id="15" xr3:uid="{925DF5B7-150A-4A1E-8EB2-2CD7298D5CB6}" name="objectTypeLabel"/>
    <tableColumn id="16" xr3:uid="{E5A93B40-A10E-43BD-AA3B-1EF9CEAFC124}" name="constellation"/>
    <tableColumn id="17" xr3:uid="{602DB6C1-9A20-43CF-ABC1-8AB14E7050AD}" name="mainSeason"/>
    <tableColumn id="18" xr3:uid="{E9668210-AAAF-4708-A385-C67199E20053}" name="rightAscensionHours"/>
    <tableColumn id="19" xr3:uid="{49561BE1-DF5A-4B2B-9366-B15C17C3F073}" name="rightAscensionMinutes"/>
    <tableColumn id="20" xr3:uid="{6624126A-CCA6-429F-B70F-76BC855F474A}" name="rightAscensionSeconds"/>
    <tableColumn id="21" xr3:uid="{EF2F571B-9A2A-4E98-8C14-6ECE243A376C}" name="rightAscensionLabel"/>
    <tableColumn id="22" xr3:uid="{F237B243-A808-4DA7-84DA-522B68300B64}" name="declinationSign"/>
    <tableColumn id="23" xr3:uid="{A09686D5-3AC5-4BF0-8FD8-458E4B3CCFA7}" name="declinationDegrees"/>
    <tableColumn id="24" xr3:uid="{6E866312-6B5B-44AC-98E8-4C2DD3CEFCD8}" name="declinationArcMinutes"/>
    <tableColumn id="25" xr3:uid="{30B76685-27FD-411B-8D4E-5DEAF242C0D4}" name="declinationArcSeconds"/>
    <tableColumn id="26" xr3:uid="{97A000F5-0C28-4EDC-9356-F76E6C6C3D14}" name="declinationLabel"/>
    <tableColumn id="27" xr3:uid="{C8224355-F589-43B7-9C18-EF737C9AEA5F}" name="coordinatesLabel"/>
    <tableColumn id="28" xr3:uid="{C439E35F-2E96-4152-8E67-60925421B4E3}" name="shortDescription"/>
    <tableColumn id="29" xr3:uid="{CB52A4C9-E7D7-45A9-9C65-A182834727A7}" name="detailType"/>
    <tableColumn id="30" xr3:uid="{87325C97-0753-4B8C-BE04-03F494BDA56F}" name="distanceLightYears"/>
    <tableColumn id="31" xr3:uid="{6C421A2F-1555-494F-9D00-96CB52BA3A95}" name="distanceLabel"/>
    <tableColumn id="32" xr3:uid="{F09FFDC9-7224-4DC4-9D5E-399D05607720}" name="realSizeLightYears"/>
    <tableColumn id="33" xr3:uid="{A73CACFF-3789-4C99-BF70-81CC2515EC82}" name="realSizeLabel"/>
    <tableColumn id="34" xr3:uid="{A14F1409-7C3C-4B65-9E28-BDEFE8675B0A}" name="visualFullMoonWidth"/>
    <tableColumn id="35" xr3:uid="{471B0381-C60D-4AF9-9BDB-65A143691EF3}" name="visualFullMoonHeight"/>
    <tableColumn id="36" xr3:uid="{BBCD9A7F-0639-41CC-94AA-4B695B523EAB}" name="angularWidthDegrees"/>
    <tableColumn id="37" xr3:uid="{4D29CDC4-403F-4EF9-9536-8E9237FAAB10}" name="angularWidthArcMinutes"/>
    <tableColumn id="38" xr3:uid="{B4EF29E8-A8B3-4712-8C00-8441122EE984}" name="angularWidthArcSeconds"/>
    <tableColumn id="39" xr3:uid="{0845222F-E5BE-43E8-8688-A1366AA895E3}" name="angularWidthLabel"/>
    <tableColumn id="40" xr3:uid="{83DB69DA-5B21-45A7-A2B4-8360B6341B29}" name="angularHeightDegrees"/>
    <tableColumn id="41" xr3:uid="{5A8BF9BE-869F-4C24-ABA2-751496DF6121}" name="angularHeightArcMinutes"/>
    <tableColumn id="42" xr3:uid="{48F31678-B929-4BF1-B025-F732C867EA8E}" name="angularHeightArcSeconds"/>
    <tableColumn id="43" xr3:uid="{99CA14B7-2E9A-4902-9A78-E20DA26C640F}" name="angularHeightLabel"/>
    <tableColumn id="44" xr3:uid="{BBDD5EAF-BDA3-42CC-BB76-59426B03E62C}" name="visualSizeLabel"/>
    <tableColumn id="45" xr3:uid="{00D5AC37-AA0E-4F87-88F6-5922E20A5912}" name="absoluteMagnitudeValue"/>
    <tableColumn id="46" xr3:uid="{DEEBB93F-0947-4A72-B1B6-E9094EB4A9CB}" name="absoluteMagnitudeLabel"/>
    <tableColumn id="47" xr3:uid="{036DD14B-8E3C-4671-9BF6-20524CAAEB77}" name="visualMagnitudeValue"/>
    <tableColumn id="48" xr3:uid="{9A5A1026-77D3-4A0E-826F-537EB719245D}" name="visualMagnitudeLabe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1"/>
  <sheetViews>
    <sheetView tabSelected="1" topLeftCell="AM2" workbookViewId="0">
      <selection activeCell="AX30" sqref="AX30"/>
    </sheetView>
  </sheetViews>
  <sheetFormatPr defaultRowHeight="14.5" x14ac:dyDescent="0.35"/>
  <cols>
    <col min="1" max="1" width="9.453125" bestFit="1" customWidth="1"/>
    <col min="2" max="2" width="20.453125" bestFit="1" customWidth="1"/>
    <col min="3" max="3" width="19.81640625" bestFit="1" customWidth="1"/>
    <col min="4" max="4" width="26.54296875" bestFit="1" customWidth="1"/>
    <col min="5" max="5" width="28" bestFit="1" customWidth="1"/>
    <col min="6" max="6" width="31.1796875" bestFit="1" customWidth="1"/>
    <col min="7" max="7" width="11.26953125" bestFit="1" customWidth="1"/>
    <col min="8" max="8" width="2" bestFit="1" customWidth="1"/>
    <col min="9" max="9" width="27" bestFit="1" customWidth="1"/>
    <col min="10" max="10" width="18.54296875" bestFit="1" customWidth="1"/>
    <col min="11" max="11" width="31.1796875" bestFit="1" customWidth="1"/>
    <col min="12" max="12" width="14.453125" bestFit="1" customWidth="1"/>
    <col min="13" max="13" width="20" bestFit="1" customWidth="1"/>
    <col min="14" max="14" width="12.54296875" bestFit="1" customWidth="1"/>
    <col min="15" max="15" width="33.1796875" bestFit="1" customWidth="1"/>
    <col min="16" max="16" width="13.7265625" bestFit="1" customWidth="1"/>
    <col min="17" max="17" width="14.1796875" bestFit="1" customWidth="1"/>
    <col min="18" max="19" width="3" bestFit="1" customWidth="1"/>
    <col min="20" max="20" width="5" bestFit="1" customWidth="1"/>
    <col min="21" max="21" width="16.26953125" bestFit="1" customWidth="1"/>
    <col min="22" max="22" width="2" bestFit="1" customWidth="1"/>
    <col min="23" max="25" width="3" bestFit="1" customWidth="1"/>
    <col min="26" max="26" width="11.81640625" bestFit="1" customWidth="1"/>
    <col min="27" max="27" width="31.7265625" bestFit="1" customWidth="1"/>
    <col min="28" max="28" width="136.81640625" bestFit="1" customWidth="1"/>
    <col min="29" max="29" width="12.54296875" bestFit="1" customWidth="1"/>
    <col min="30" max="30" width="9" bestFit="1" customWidth="1"/>
    <col min="31" max="31" width="24.54296875" bestFit="1" customWidth="1"/>
    <col min="32" max="32" width="12" bestFit="1" customWidth="1"/>
    <col min="33" max="33" width="25.26953125" bestFit="1" customWidth="1"/>
    <col min="34" max="34" width="7" bestFit="1" customWidth="1"/>
    <col min="35" max="35" width="6" bestFit="1" customWidth="1"/>
    <col min="36" max="38" width="3" bestFit="1" customWidth="1"/>
    <col min="39" max="39" width="8.81640625" bestFit="1" customWidth="1"/>
    <col min="40" max="42" width="3" bestFit="1" customWidth="1"/>
    <col min="43" max="43" width="8.81640625" bestFit="1" customWidth="1"/>
    <col min="44" max="44" width="33.1796875" bestFit="1" customWidth="1"/>
    <col min="45" max="45" width="5.7265625" bestFit="1" customWidth="1"/>
    <col min="46" max="46" width="15" bestFit="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1192</v>
      </c>
      <c r="AV1" t="s">
        <v>1193</v>
      </c>
    </row>
    <row r="2" spans="1:48" x14ac:dyDescent="0.35">
      <c r="A2" t="s">
        <v>46</v>
      </c>
      <c r="B2" t="s">
        <v>47</v>
      </c>
      <c r="C2" t="s">
        <v>48</v>
      </c>
      <c r="D2" t="s">
        <v>49</v>
      </c>
    </row>
    <row r="3" spans="1:48" x14ac:dyDescent="0.35">
      <c r="A3" t="s">
        <v>50</v>
      </c>
      <c r="B3" t="s">
        <v>47</v>
      </c>
      <c r="E3" t="s">
        <v>51</v>
      </c>
      <c r="F3" t="s">
        <v>722</v>
      </c>
      <c r="G3" t="s">
        <v>52</v>
      </c>
      <c r="H3">
        <v>1</v>
      </c>
      <c r="I3" t="s">
        <v>53</v>
      </c>
      <c r="J3" t="s">
        <v>54</v>
      </c>
      <c r="K3" t="s">
        <v>722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>
        <v>19</v>
      </c>
      <c r="S3">
        <v>30</v>
      </c>
      <c r="T3">
        <v>43</v>
      </c>
      <c r="U3" t="s">
        <v>61</v>
      </c>
      <c r="V3" t="s">
        <v>62</v>
      </c>
      <c r="W3">
        <v>27</v>
      </c>
      <c r="X3">
        <v>58</v>
      </c>
      <c r="Y3">
        <v>0</v>
      </c>
      <c r="Z3" t="s">
        <v>63</v>
      </c>
      <c r="AA3" t="s">
        <v>64</v>
      </c>
      <c r="AB3" t="s">
        <v>723</v>
      </c>
      <c r="AC3" t="s">
        <v>57</v>
      </c>
      <c r="AD3">
        <v>420</v>
      </c>
      <c r="AE3" t="s">
        <v>65</v>
      </c>
      <c r="AF3">
        <v>5.0000000000000001E-3</v>
      </c>
      <c r="AG3" t="s">
        <v>66</v>
      </c>
      <c r="AS3">
        <v>-2.2999999999999998</v>
      </c>
      <c r="AT3" t="s">
        <v>67</v>
      </c>
      <c r="AU3">
        <v>3.08</v>
      </c>
      <c r="AV3" t="s">
        <v>1194</v>
      </c>
    </row>
    <row r="4" spans="1:48" x14ac:dyDescent="0.35">
      <c r="A4" t="s">
        <v>50</v>
      </c>
      <c r="B4" t="s">
        <v>47</v>
      </c>
      <c r="E4" t="s">
        <v>68</v>
      </c>
      <c r="F4" t="s">
        <v>69</v>
      </c>
      <c r="G4" t="s">
        <v>70</v>
      </c>
      <c r="H4">
        <v>1</v>
      </c>
      <c r="I4" t="s">
        <v>71</v>
      </c>
      <c r="J4" t="s">
        <v>54</v>
      </c>
      <c r="K4" t="s">
        <v>69</v>
      </c>
      <c r="L4" t="s">
        <v>55</v>
      </c>
      <c r="M4" t="s">
        <v>72</v>
      </c>
      <c r="N4" t="s">
        <v>57</v>
      </c>
      <c r="O4" t="s">
        <v>73</v>
      </c>
      <c r="P4" t="s">
        <v>74</v>
      </c>
      <c r="Q4" t="s">
        <v>75</v>
      </c>
      <c r="R4">
        <v>3</v>
      </c>
      <c r="S4">
        <v>8</v>
      </c>
      <c r="T4">
        <v>10</v>
      </c>
      <c r="U4" t="s">
        <v>76</v>
      </c>
      <c r="V4" t="s">
        <v>62</v>
      </c>
      <c r="W4">
        <v>40</v>
      </c>
      <c r="X4">
        <v>57</v>
      </c>
      <c r="Y4">
        <v>20</v>
      </c>
      <c r="Z4" t="s">
        <v>77</v>
      </c>
      <c r="AA4" t="s">
        <v>78</v>
      </c>
      <c r="AB4" t="s">
        <v>724</v>
      </c>
      <c r="AC4" t="s">
        <v>57</v>
      </c>
      <c r="AD4">
        <v>93</v>
      </c>
      <c r="AE4" t="s">
        <v>79</v>
      </c>
      <c r="AF4">
        <v>2.9999999999999997E-4</v>
      </c>
      <c r="AG4" t="s">
        <v>80</v>
      </c>
      <c r="AS4">
        <v>-0.2</v>
      </c>
      <c r="AT4" t="s">
        <v>81</v>
      </c>
      <c r="AU4">
        <v>2.12</v>
      </c>
      <c r="AV4" t="s">
        <v>1195</v>
      </c>
    </row>
    <row r="5" spans="1:48" x14ac:dyDescent="0.35">
      <c r="A5" t="s">
        <v>50</v>
      </c>
      <c r="B5" t="s">
        <v>47</v>
      </c>
      <c r="E5" t="s">
        <v>82</v>
      </c>
      <c r="F5" t="s">
        <v>83</v>
      </c>
      <c r="G5" t="s">
        <v>70</v>
      </c>
      <c r="H5">
        <v>1</v>
      </c>
      <c r="I5" t="s">
        <v>84</v>
      </c>
      <c r="J5" t="s">
        <v>54</v>
      </c>
      <c r="K5" t="s">
        <v>83</v>
      </c>
      <c r="L5" t="s">
        <v>55</v>
      </c>
      <c r="M5" t="s">
        <v>85</v>
      </c>
      <c r="N5" t="s">
        <v>57</v>
      </c>
      <c r="O5" t="s">
        <v>58</v>
      </c>
      <c r="P5" t="s">
        <v>86</v>
      </c>
      <c r="Q5" t="s">
        <v>75</v>
      </c>
      <c r="R5">
        <v>2</v>
      </c>
      <c r="S5">
        <v>3</v>
      </c>
      <c r="T5">
        <v>54</v>
      </c>
      <c r="U5" t="s">
        <v>87</v>
      </c>
      <c r="V5" t="s">
        <v>62</v>
      </c>
      <c r="W5">
        <v>42</v>
      </c>
      <c r="X5">
        <v>19</v>
      </c>
      <c r="Y5">
        <v>47</v>
      </c>
      <c r="Z5" t="s">
        <v>88</v>
      </c>
      <c r="AA5" t="s">
        <v>89</v>
      </c>
      <c r="AB5" t="s">
        <v>725</v>
      </c>
      <c r="AC5" t="s">
        <v>57</v>
      </c>
      <c r="AD5">
        <v>350</v>
      </c>
      <c r="AE5" t="s">
        <v>90</v>
      </c>
      <c r="AF5">
        <v>1.1800000000000001E-5</v>
      </c>
      <c r="AG5" t="s">
        <v>91</v>
      </c>
      <c r="AS5">
        <v>-0.3</v>
      </c>
      <c r="AT5" t="s">
        <v>92</v>
      </c>
      <c r="AU5">
        <v>2.1</v>
      </c>
      <c r="AV5" t="s">
        <v>1196</v>
      </c>
    </row>
    <row r="6" spans="1:48" x14ac:dyDescent="0.35">
      <c r="A6" t="s">
        <v>50</v>
      </c>
      <c r="B6" t="s">
        <v>47</v>
      </c>
      <c r="E6" t="s">
        <v>93</v>
      </c>
      <c r="F6" t="s">
        <v>726</v>
      </c>
      <c r="G6" t="s">
        <v>52</v>
      </c>
      <c r="H6">
        <v>1</v>
      </c>
      <c r="I6" t="s">
        <v>94</v>
      </c>
      <c r="J6" t="s">
        <v>54</v>
      </c>
      <c r="K6" t="s">
        <v>726</v>
      </c>
      <c r="L6" t="s">
        <v>55</v>
      </c>
      <c r="M6" t="s">
        <v>95</v>
      </c>
      <c r="N6" t="s">
        <v>57</v>
      </c>
      <c r="O6" t="s">
        <v>96</v>
      </c>
      <c r="P6" t="s">
        <v>97</v>
      </c>
      <c r="Q6" t="s">
        <v>60</v>
      </c>
      <c r="R6">
        <v>19</v>
      </c>
      <c r="S6">
        <v>50</v>
      </c>
      <c r="T6">
        <v>47</v>
      </c>
      <c r="U6" t="s">
        <v>98</v>
      </c>
      <c r="V6" t="s">
        <v>62</v>
      </c>
      <c r="W6">
        <v>8</v>
      </c>
      <c r="X6">
        <v>52</v>
      </c>
      <c r="Y6">
        <v>6</v>
      </c>
      <c r="Z6" t="s">
        <v>99</v>
      </c>
      <c r="AA6" t="s">
        <v>100</v>
      </c>
      <c r="AB6" t="s">
        <v>727</v>
      </c>
      <c r="AC6" t="s">
        <v>57</v>
      </c>
      <c r="AD6">
        <v>16.7</v>
      </c>
      <c r="AE6" t="s">
        <v>101</v>
      </c>
      <c r="AF6">
        <v>2.65E-7</v>
      </c>
      <c r="AG6" t="s">
        <v>102</v>
      </c>
      <c r="AS6">
        <v>2.2000000000000002</v>
      </c>
      <c r="AT6" t="s">
        <v>103</v>
      </c>
      <c r="AU6">
        <v>0.76</v>
      </c>
      <c r="AV6" t="s">
        <v>1197</v>
      </c>
    </row>
    <row r="7" spans="1:48" x14ac:dyDescent="0.35">
      <c r="A7" t="s">
        <v>50</v>
      </c>
      <c r="B7" t="s">
        <v>47</v>
      </c>
      <c r="E7" t="s">
        <v>104</v>
      </c>
      <c r="F7" t="s">
        <v>728</v>
      </c>
      <c r="G7" t="s">
        <v>52</v>
      </c>
      <c r="H7">
        <v>1</v>
      </c>
      <c r="I7" t="s">
        <v>105</v>
      </c>
      <c r="J7" t="s">
        <v>54</v>
      </c>
      <c r="K7" t="s">
        <v>728</v>
      </c>
      <c r="L7" t="s">
        <v>106</v>
      </c>
      <c r="M7" t="s">
        <v>107</v>
      </c>
      <c r="N7" t="s">
        <v>15</v>
      </c>
      <c r="O7" t="s">
        <v>108</v>
      </c>
      <c r="P7" t="s">
        <v>86</v>
      </c>
      <c r="Q7" t="s">
        <v>75</v>
      </c>
      <c r="R7">
        <v>1</v>
      </c>
      <c r="S7">
        <v>0</v>
      </c>
      <c r="T7">
        <v>0</v>
      </c>
      <c r="U7" t="s">
        <v>109</v>
      </c>
      <c r="V7" t="s">
        <v>62</v>
      </c>
      <c r="W7">
        <v>38</v>
      </c>
      <c r="X7">
        <v>0</v>
      </c>
      <c r="Y7">
        <v>0</v>
      </c>
      <c r="Z7" t="s">
        <v>110</v>
      </c>
      <c r="AA7" t="s">
        <v>111</v>
      </c>
      <c r="AB7" t="s">
        <v>729</v>
      </c>
      <c r="AC7" t="s">
        <v>15</v>
      </c>
      <c r="AH7">
        <v>11</v>
      </c>
      <c r="AI7">
        <v>5</v>
      </c>
      <c r="AJ7">
        <v>5</v>
      </c>
      <c r="AK7">
        <v>30</v>
      </c>
      <c r="AL7">
        <v>0</v>
      </c>
      <c r="AM7" t="s">
        <v>112</v>
      </c>
      <c r="AN7">
        <v>2</v>
      </c>
      <c r="AO7">
        <v>30</v>
      </c>
      <c r="AP7">
        <v>0</v>
      </c>
      <c r="AQ7" t="s">
        <v>113</v>
      </c>
      <c r="AR7" t="s">
        <v>114</v>
      </c>
    </row>
    <row r="8" spans="1:48" x14ac:dyDescent="0.35">
      <c r="A8" t="s">
        <v>50</v>
      </c>
      <c r="B8" t="s">
        <v>47</v>
      </c>
      <c r="E8" t="s">
        <v>115</v>
      </c>
      <c r="F8" t="s">
        <v>116</v>
      </c>
      <c r="G8" t="s">
        <v>52</v>
      </c>
      <c r="H8">
        <v>1</v>
      </c>
      <c r="I8" t="s">
        <v>117</v>
      </c>
      <c r="J8" t="s">
        <v>54</v>
      </c>
      <c r="K8" t="s">
        <v>116</v>
      </c>
      <c r="L8" t="s">
        <v>55</v>
      </c>
      <c r="M8" t="s">
        <v>118</v>
      </c>
      <c r="N8" t="s">
        <v>57</v>
      </c>
      <c r="O8" t="s">
        <v>119</v>
      </c>
      <c r="P8" t="s">
        <v>120</v>
      </c>
      <c r="Q8" t="s">
        <v>121</v>
      </c>
      <c r="R8">
        <v>14</v>
      </c>
      <c r="S8">
        <v>15</v>
      </c>
      <c r="T8">
        <v>39.700000000000003</v>
      </c>
      <c r="U8" t="s">
        <v>122</v>
      </c>
      <c r="V8" t="s">
        <v>62</v>
      </c>
      <c r="W8">
        <v>19</v>
      </c>
      <c r="X8">
        <v>10</v>
      </c>
      <c r="Y8">
        <v>57</v>
      </c>
      <c r="Z8" t="s">
        <v>123</v>
      </c>
      <c r="AA8" t="s">
        <v>124</v>
      </c>
      <c r="AB8" t="s">
        <v>730</v>
      </c>
      <c r="AC8" t="s">
        <v>57</v>
      </c>
      <c r="AD8">
        <v>36.700000000000003</v>
      </c>
      <c r="AE8" t="s">
        <v>125</v>
      </c>
      <c r="AF8">
        <v>3.7299999999999999E-6</v>
      </c>
      <c r="AG8" t="s">
        <v>126</v>
      </c>
      <c r="AS8">
        <v>-0.3</v>
      </c>
      <c r="AT8" t="s">
        <v>92</v>
      </c>
      <c r="AU8">
        <v>-0.05</v>
      </c>
      <c r="AV8" t="s">
        <v>1198</v>
      </c>
    </row>
    <row r="9" spans="1:48" x14ac:dyDescent="0.35">
      <c r="A9" t="s">
        <v>50</v>
      </c>
      <c r="B9" t="s">
        <v>47</v>
      </c>
      <c r="E9" t="s">
        <v>127</v>
      </c>
      <c r="F9" t="s">
        <v>731</v>
      </c>
      <c r="G9" t="s">
        <v>128</v>
      </c>
      <c r="H9">
        <v>1</v>
      </c>
      <c r="I9" t="s">
        <v>129</v>
      </c>
      <c r="J9" t="s">
        <v>54</v>
      </c>
      <c r="K9" t="s">
        <v>731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>
        <v>0</v>
      </c>
      <c r="S9">
        <v>0</v>
      </c>
      <c r="T9">
        <v>0</v>
      </c>
      <c r="U9" t="s">
        <v>136</v>
      </c>
      <c r="V9" t="s">
        <v>62</v>
      </c>
      <c r="W9">
        <v>70</v>
      </c>
      <c r="X9">
        <v>0</v>
      </c>
      <c r="Y9">
        <v>0</v>
      </c>
      <c r="Z9" t="s">
        <v>137</v>
      </c>
      <c r="AA9" t="s">
        <v>138</v>
      </c>
      <c r="AB9" t="s">
        <v>663</v>
      </c>
      <c r="AC9" t="s">
        <v>132</v>
      </c>
      <c r="AH9">
        <v>120</v>
      </c>
      <c r="AI9">
        <v>60</v>
      </c>
      <c r="AJ9">
        <v>60</v>
      </c>
      <c r="AK9">
        <v>0</v>
      </c>
      <c r="AL9">
        <v>0</v>
      </c>
      <c r="AM9" t="s">
        <v>139</v>
      </c>
      <c r="AN9">
        <v>30</v>
      </c>
      <c r="AO9">
        <v>0</v>
      </c>
      <c r="AP9">
        <v>0</v>
      </c>
      <c r="AQ9" t="s">
        <v>140</v>
      </c>
      <c r="AR9" t="s">
        <v>141</v>
      </c>
    </row>
    <row r="10" spans="1:48" x14ac:dyDescent="0.35">
      <c r="A10" t="s">
        <v>50</v>
      </c>
      <c r="B10" t="s">
        <v>47</v>
      </c>
      <c r="E10" t="s">
        <v>142</v>
      </c>
      <c r="F10" t="s">
        <v>732</v>
      </c>
      <c r="G10" t="s">
        <v>52</v>
      </c>
      <c r="H10">
        <v>1</v>
      </c>
      <c r="I10" t="s">
        <v>143</v>
      </c>
      <c r="J10" t="s">
        <v>54</v>
      </c>
      <c r="K10" t="s">
        <v>732</v>
      </c>
      <c r="L10" t="s">
        <v>55</v>
      </c>
      <c r="M10" t="s">
        <v>144</v>
      </c>
      <c r="N10" t="s">
        <v>57</v>
      </c>
      <c r="O10" t="s">
        <v>145</v>
      </c>
      <c r="P10" t="s">
        <v>146</v>
      </c>
      <c r="Q10" t="s">
        <v>147</v>
      </c>
      <c r="R10">
        <v>5</v>
      </c>
      <c r="S10">
        <v>55</v>
      </c>
      <c r="T10">
        <v>10.3</v>
      </c>
      <c r="U10" t="s">
        <v>148</v>
      </c>
      <c r="V10" t="s">
        <v>62</v>
      </c>
      <c r="W10">
        <v>7</v>
      </c>
      <c r="X10">
        <v>24</v>
      </c>
      <c r="Y10">
        <v>25</v>
      </c>
      <c r="Z10" t="s">
        <v>149</v>
      </c>
      <c r="AA10" t="s">
        <v>150</v>
      </c>
      <c r="AB10" t="s">
        <v>733</v>
      </c>
      <c r="AC10" t="s">
        <v>57</v>
      </c>
      <c r="AD10">
        <v>548</v>
      </c>
      <c r="AE10" t="s">
        <v>151</v>
      </c>
      <c r="AF10">
        <v>1.1E-4</v>
      </c>
      <c r="AG10" t="s">
        <v>152</v>
      </c>
      <c r="AS10">
        <v>-5.85</v>
      </c>
      <c r="AT10" t="s">
        <v>153</v>
      </c>
      <c r="AU10">
        <v>0.42</v>
      </c>
      <c r="AV10" t="s">
        <v>1199</v>
      </c>
    </row>
    <row r="11" spans="1:48" x14ac:dyDescent="0.35">
      <c r="A11" t="s">
        <v>50</v>
      </c>
      <c r="B11" t="s">
        <v>47</v>
      </c>
      <c r="E11" t="s">
        <v>154</v>
      </c>
      <c r="F11" t="s">
        <v>155</v>
      </c>
      <c r="G11" t="s">
        <v>52</v>
      </c>
      <c r="H11">
        <v>1</v>
      </c>
      <c r="I11" t="s">
        <v>156</v>
      </c>
      <c r="J11" t="s">
        <v>54</v>
      </c>
      <c r="K11" t="s">
        <v>155</v>
      </c>
      <c r="L11" t="s">
        <v>55</v>
      </c>
      <c r="M11" t="s">
        <v>157</v>
      </c>
      <c r="N11" t="s">
        <v>57</v>
      </c>
      <c r="O11" t="s">
        <v>158</v>
      </c>
      <c r="P11" t="s">
        <v>159</v>
      </c>
      <c r="Q11" t="s">
        <v>147</v>
      </c>
      <c r="R11">
        <v>5</v>
      </c>
      <c r="S11">
        <v>16</v>
      </c>
      <c r="T11">
        <v>41</v>
      </c>
      <c r="U11" t="s">
        <v>160</v>
      </c>
      <c r="V11" t="s">
        <v>62</v>
      </c>
      <c r="W11">
        <v>45</v>
      </c>
      <c r="X11">
        <v>59</v>
      </c>
      <c r="Y11">
        <v>53</v>
      </c>
      <c r="Z11" t="s">
        <v>161</v>
      </c>
      <c r="AA11" t="s">
        <v>162</v>
      </c>
      <c r="AB11" t="s">
        <v>734</v>
      </c>
      <c r="AC11" t="s">
        <v>57</v>
      </c>
      <c r="AD11">
        <v>42.9</v>
      </c>
      <c r="AE11" t="s">
        <v>163</v>
      </c>
      <c r="AF11">
        <v>1.7600000000000001E-6</v>
      </c>
      <c r="AG11" t="s">
        <v>164</v>
      </c>
      <c r="AS11">
        <v>0.3</v>
      </c>
      <c r="AT11" t="s">
        <v>165</v>
      </c>
      <c r="AU11">
        <v>0.08</v>
      </c>
      <c r="AV11" t="s">
        <v>1200</v>
      </c>
    </row>
    <row r="12" spans="1:48" x14ac:dyDescent="0.35">
      <c r="A12" t="s">
        <v>50</v>
      </c>
      <c r="B12" t="s">
        <v>47</v>
      </c>
      <c r="E12" t="s">
        <v>166</v>
      </c>
      <c r="F12" t="s">
        <v>735</v>
      </c>
      <c r="G12" t="s">
        <v>52</v>
      </c>
      <c r="H12">
        <v>1</v>
      </c>
      <c r="I12" t="s">
        <v>168</v>
      </c>
      <c r="J12" t="s">
        <v>54</v>
      </c>
      <c r="K12" t="s">
        <v>735</v>
      </c>
      <c r="L12" t="s">
        <v>106</v>
      </c>
      <c r="M12" t="s">
        <v>169</v>
      </c>
      <c r="N12" t="s">
        <v>15</v>
      </c>
      <c r="O12" t="s">
        <v>108</v>
      </c>
      <c r="P12" t="s">
        <v>167</v>
      </c>
      <c r="Q12" t="s">
        <v>75</v>
      </c>
      <c r="R12">
        <v>1</v>
      </c>
      <c r="S12">
        <v>0</v>
      </c>
      <c r="T12">
        <v>0</v>
      </c>
      <c r="U12" t="s">
        <v>109</v>
      </c>
      <c r="V12" t="s">
        <v>62</v>
      </c>
      <c r="W12">
        <v>60</v>
      </c>
      <c r="X12">
        <v>0</v>
      </c>
      <c r="Y12">
        <v>0</v>
      </c>
      <c r="Z12" t="s">
        <v>170</v>
      </c>
      <c r="AA12" t="s">
        <v>171</v>
      </c>
      <c r="AB12" t="s">
        <v>736</v>
      </c>
      <c r="AC12" t="s">
        <v>15</v>
      </c>
      <c r="AH12">
        <v>10</v>
      </c>
      <c r="AI12">
        <v>7</v>
      </c>
      <c r="AJ12">
        <v>5</v>
      </c>
      <c r="AK12">
        <v>0</v>
      </c>
      <c r="AL12">
        <v>0</v>
      </c>
      <c r="AM12" t="s">
        <v>172</v>
      </c>
      <c r="AN12">
        <v>3</v>
      </c>
      <c r="AO12">
        <v>30</v>
      </c>
      <c r="AP12">
        <v>0</v>
      </c>
      <c r="AQ12" t="s">
        <v>173</v>
      </c>
      <c r="AR12" t="s">
        <v>174</v>
      </c>
    </row>
    <row r="13" spans="1:48" x14ac:dyDescent="0.35">
      <c r="A13" t="s">
        <v>50</v>
      </c>
      <c r="B13" t="s">
        <v>47</v>
      </c>
      <c r="E13" t="s">
        <v>175</v>
      </c>
      <c r="F13" t="s">
        <v>176</v>
      </c>
      <c r="G13" t="s">
        <v>70</v>
      </c>
      <c r="H13">
        <v>1</v>
      </c>
      <c r="I13" t="s">
        <v>177</v>
      </c>
      <c r="J13" t="s">
        <v>54</v>
      </c>
      <c r="K13" t="s">
        <v>176</v>
      </c>
      <c r="L13" t="s">
        <v>178</v>
      </c>
      <c r="M13" t="s">
        <v>179</v>
      </c>
      <c r="N13" t="s">
        <v>180</v>
      </c>
      <c r="O13" t="s">
        <v>181</v>
      </c>
      <c r="P13" t="s">
        <v>182</v>
      </c>
      <c r="Q13" t="s">
        <v>60</v>
      </c>
      <c r="R13">
        <v>19</v>
      </c>
      <c r="S13">
        <v>26</v>
      </c>
      <c r="T13">
        <v>0</v>
      </c>
      <c r="U13" t="s">
        <v>183</v>
      </c>
      <c r="V13" t="s">
        <v>62</v>
      </c>
      <c r="W13">
        <v>20</v>
      </c>
      <c r="X13">
        <v>11</v>
      </c>
      <c r="Y13">
        <v>0</v>
      </c>
      <c r="Z13" t="s">
        <v>184</v>
      </c>
      <c r="AA13" t="s">
        <v>185</v>
      </c>
      <c r="AB13" t="s">
        <v>664</v>
      </c>
      <c r="AC13" t="s">
        <v>180</v>
      </c>
      <c r="AD13">
        <v>420</v>
      </c>
      <c r="AE13" t="s">
        <v>65</v>
      </c>
      <c r="AF13">
        <v>30</v>
      </c>
      <c r="AG13" t="s">
        <v>186</v>
      </c>
      <c r="AH13">
        <v>2.5</v>
      </c>
      <c r="AI13">
        <v>1.3</v>
      </c>
      <c r="AJ13">
        <v>1</v>
      </c>
      <c r="AK13">
        <v>16</v>
      </c>
      <c r="AL13">
        <v>0</v>
      </c>
      <c r="AM13" t="s">
        <v>187</v>
      </c>
      <c r="AN13">
        <v>0</v>
      </c>
      <c r="AO13">
        <v>40</v>
      </c>
      <c r="AP13">
        <v>0</v>
      </c>
      <c r="AQ13" t="s">
        <v>188</v>
      </c>
      <c r="AR13" t="s">
        <v>189</v>
      </c>
      <c r="AS13">
        <v>-1</v>
      </c>
      <c r="AT13" t="s">
        <v>190</v>
      </c>
      <c r="AU13">
        <v>3.6</v>
      </c>
      <c r="AV13" t="s">
        <v>1201</v>
      </c>
    </row>
    <row r="14" spans="1:48" x14ac:dyDescent="0.35">
      <c r="A14" t="s">
        <v>50</v>
      </c>
      <c r="B14" t="s">
        <v>47</v>
      </c>
      <c r="E14" t="s">
        <v>191</v>
      </c>
      <c r="F14" t="s">
        <v>737</v>
      </c>
      <c r="G14" t="s">
        <v>128</v>
      </c>
      <c r="H14">
        <v>1</v>
      </c>
      <c r="I14" t="s">
        <v>192</v>
      </c>
      <c r="J14" t="s">
        <v>54</v>
      </c>
      <c r="K14" t="s">
        <v>737</v>
      </c>
      <c r="L14" t="s">
        <v>193</v>
      </c>
      <c r="M14" t="s">
        <v>194</v>
      </c>
      <c r="N14" t="s">
        <v>132</v>
      </c>
      <c r="O14" t="s">
        <v>195</v>
      </c>
      <c r="P14" t="s">
        <v>196</v>
      </c>
      <c r="Q14" t="s">
        <v>60</v>
      </c>
      <c r="R14">
        <v>0</v>
      </c>
      <c r="S14">
        <v>0</v>
      </c>
      <c r="T14">
        <v>0</v>
      </c>
      <c r="U14" t="s">
        <v>136</v>
      </c>
      <c r="V14" t="s">
        <v>62</v>
      </c>
      <c r="W14">
        <v>0</v>
      </c>
      <c r="X14">
        <v>0</v>
      </c>
      <c r="Y14">
        <v>0</v>
      </c>
      <c r="Z14" t="s">
        <v>197</v>
      </c>
      <c r="AA14" t="s">
        <v>198</v>
      </c>
      <c r="AB14" t="s">
        <v>665</v>
      </c>
      <c r="AC14" t="s">
        <v>132</v>
      </c>
      <c r="AU14">
        <v>0.9</v>
      </c>
      <c r="AV14" t="s">
        <v>1202</v>
      </c>
    </row>
    <row r="15" spans="1:48" x14ac:dyDescent="0.35">
      <c r="A15" t="s">
        <v>50</v>
      </c>
      <c r="B15" t="s">
        <v>47</v>
      </c>
      <c r="E15" t="s">
        <v>199</v>
      </c>
      <c r="F15" t="s">
        <v>59</v>
      </c>
      <c r="G15" t="s">
        <v>52</v>
      </c>
      <c r="H15">
        <v>1</v>
      </c>
      <c r="I15" t="s">
        <v>200</v>
      </c>
      <c r="J15" t="s">
        <v>54</v>
      </c>
      <c r="K15" t="s">
        <v>59</v>
      </c>
      <c r="L15" t="s">
        <v>106</v>
      </c>
      <c r="M15" t="s">
        <v>201</v>
      </c>
      <c r="N15" t="s">
        <v>15</v>
      </c>
      <c r="O15" t="s">
        <v>108</v>
      </c>
      <c r="P15" t="s">
        <v>59</v>
      </c>
      <c r="Q15" t="s">
        <v>60</v>
      </c>
      <c r="R15">
        <v>20</v>
      </c>
      <c r="S15">
        <v>30</v>
      </c>
      <c r="T15">
        <v>0</v>
      </c>
      <c r="U15" t="s">
        <v>202</v>
      </c>
      <c r="V15" t="s">
        <v>62</v>
      </c>
      <c r="W15">
        <v>42</v>
      </c>
      <c r="X15">
        <v>0</v>
      </c>
      <c r="Y15">
        <v>0</v>
      </c>
      <c r="Z15" t="s">
        <v>203</v>
      </c>
      <c r="AA15" t="s">
        <v>204</v>
      </c>
      <c r="AB15" t="s">
        <v>666</v>
      </c>
      <c r="AC15" t="s">
        <v>15</v>
      </c>
      <c r="AH15">
        <v>12</v>
      </c>
      <c r="AI15">
        <v>9</v>
      </c>
      <c r="AJ15">
        <v>6</v>
      </c>
      <c r="AK15">
        <v>0</v>
      </c>
      <c r="AL15">
        <v>0</v>
      </c>
      <c r="AM15" t="s">
        <v>205</v>
      </c>
      <c r="AN15">
        <v>4</v>
      </c>
      <c r="AO15">
        <v>30</v>
      </c>
      <c r="AP15">
        <v>0</v>
      </c>
      <c r="AQ15" t="s">
        <v>206</v>
      </c>
      <c r="AR15" t="s">
        <v>207</v>
      </c>
    </row>
    <row r="16" spans="1:48" x14ac:dyDescent="0.35">
      <c r="A16" t="s">
        <v>50</v>
      </c>
      <c r="B16" t="s">
        <v>47</v>
      </c>
      <c r="E16" t="s">
        <v>208</v>
      </c>
      <c r="F16" t="s">
        <v>738</v>
      </c>
      <c r="G16" t="s">
        <v>52</v>
      </c>
      <c r="H16">
        <v>1</v>
      </c>
      <c r="I16" t="s">
        <v>209</v>
      </c>
      <c r="J16" t="s">
        <v>54</v>
      </c>
      <c r="K16" t="s">
        <v>738</v>
      </c>
      <c r="L16" t="s">
        <v>210</v>
      </c>
      <c r="M16" t="s">
        <v>211</v>
      </c>
      <c r="N16" t="s">
        <v>180</v>
      </c>
      <c r="O16" t="s">
        <v>212</v>
      </c>
      <c r="P16" t="s">
        <v>74</v>
      </c>
      <c r="Q16" t="s">
        <v>75</v>
      </c>
      <c r="R16">
        <v>2</v>
      </c>
      <c r="S16">
        <v>21</v>
      </c>
      <c r="T16">
        <v>0</v>
      </c>
      <c r="U16" t="s">
        <v>213</v>
      </c>
      <c r="V16" t="s">
        <v>62</v>
      </c>
      <c r="W16">
        <v>57</v>
      </c>
      <c r="X16">
        <v>8</v>
      </c>
      <c r="Y16">
        <v>0</v>
      </c>
      <c r="Z16" t="s">
        <v>214</v>
      </c>
      <c r="AA16" t="s">
        <v>215</v>
      </c>
      <c r="AB16" t="s">
        <v>739</v>
      </c>
      <c r="AC16" t="s">
        <v>180</v>
      </c>
      <c r="AD16">
        <v>7500</v>
      </c>
      <c r="AE16" t="s">
        <v>216</v>
      </c>
      <c r="AF16">
        <v>70</v>
      </c>
      <c r="AG16" t="s">
        <v>217</v>
      </c>
      <c r="AH16">
        <v>2</v>
      </c>
      <c r="AI16">
        <v>1</v>
      </c>
      <c r="AJ16">
        <v>1</v>
      </c>
      <c r="AK16">
        <v>0</v>
      </c>
      <c r="AL16">
        <v>0</v>
      </c>
      <c r="AM16" t="s">
        <v>218</v>
      </c>
      <c r="AN16">
        <v>0</v>
      </c>
      <c r="AO16">
        <v>30</v>
      </c>
      <c r="AP16">
        <v>0</v>
      </c>
      <c r="AQ16" t="s">
        <v>219</v>
      </c>
      <c r="AR16" t="s">
        <v>220</v>
      </c>
      <c r="AS16">
        <v>-3.7</v>
      </c>
      <c r="AT16" t="s">
        <v>221</v>
      </c>
      <c r="AU16">
        <v>3.7</v>
      </c>
      <c r="AV16" t="s">
        <v>1203</v>
      </c>
    </row>
    <row r="17" spans="1:48" x14ac:dyDescent="0.35">
      <c r="A17" t="s">
        <v>50</v>
      </c>
      <c r="B17" t="s">
        <v>47</v>
      </c>
      <c r="E17" t="s">
        <v>222</v>
      </c>
      <c r="F17" t="s">
        <v>740</v>
      </c>
      <c r="G17" t="s">
        <v>52</v>
      </c>
      <c r="H17">
        <v>1</v>
      </c>
      <c r="I17" t="s">
        <v>224</v>
      </c>
      <c r="J17" t="s">
        <v>54</v>
      </c>
      <c r="K17" t="s">
        <v>740</v>
      </c>
      <c r="L17" t="s">
        <v>106</v>
      </c>
      <c r="M17" t="s">
        <v>225</v>
      </c>
      <c r="N17" t="s">
        <v>15</v>
      </c>
      <c r="O17" t="s">
        <v>108</v>
      </c>
      <c r="P17" t="s">
        <v>223</v>
      </c>
      <c r="Q17" t="s">
        <v>147</v>
      </c>
      <c r="R17">
        <v>7</v>
      </c>
      <c r="S17">
        <v>0</v>
      </c>
      <c r="T17">
        <v>0</v>
      </c>
      <c r="U17" t="s">
        <v>226</v>
      </c>
      <c r="V17" t="s">
        <v>62</v>
      </c>
      <c r="W17">
        <v>22</v>
      </c>
      <c r="X17">
        <v>0</v>
      </c>
      <c r="Y17">
        <v>0</v>
      </c>
      <c r="Z17" t="s">
        <v>227</v>
      </c>
      <c r="AA17" t="s">
        <v>228</v>
      </c>
      <c r="AB17" t="s">
        <v>667</v>
      </c>
      <c r="AC17" t="s">
        <v>15</v>
      </c>
      <c r="AH17">
        <v>9</v>
      </c>
      <c r="AI17">
        <v>6</v>
      </c>
      <c r="AJ17">
        <v>4</v>
      </c>
      <c r="AK17">
        <v>30</v>
      </c>
      <c r="AL17">
        <v>0</v>
      </c>
      <c r="AM17" t="s">
        <v>206</v>
      </c>
      <c r="AN17">
        <v>3</v>
      </c>
      <c r="AO17">
        <v>0</v>
      </c>
      <c r="AP17">
        <v>0</v>
      </c>
      <c r="AQ17" t="s">
        <v>229</v>
      </c>
      <c r="AR17" t="s">
        <v>230</v>
      </c>
    </row>
    <row r="18" spans="1:48" x14ac:dyDescent="0.35">
      <c r="A18" t="s">
        <v>50</v>
      </c>
      <c r="B18" t="s">
        <v>47</v>
      </c>
      <c r="E18" t="s">
        <v>231</v>
      </c>
      <c r="F18" t="s">
        <v>741</v>
      </c>
      <c r="G18" t="s">
        <v>70</v>
      </c>
      <c r="H18">
        <v>1</v>
      </c>
      <c r="I18" t="s">
        <v>232</v>
      </c>
      <c r="J18" t="s">
        <v>54</v>
      </c>
      <c r="K18" t="s">
        <v>741</v>
      </c>
      <c r="L18" t="s">
        <v>233</v>
      </c>
      <c r="M18" t="s">
        <v>225</v>
      </c>
      <c r="N18" t="s">
        <v>132</v>
      </c>
      <c r="O18" t="s">
        <v>234</v>
      </c>
      <c r="P18" t="s">
        <v>223</v>
      </c>
      <c r="Q18" t="s">
        <v>147</v>
      </c>
      <c r="R18">
        <v>7</v>
      </c>
      <c r="S18">
        <v>30</v>
      </c>
      <c r="T18">
        <v>0</v>
      </c>
      <c r="U18" t="s">
        <v>235</v>
      </c>
      <c r="V18" t="s">
        <v>62</v>
      </c>
      <c r="W18">
        <v>32</v>
      </c>
      <c r="X18">
        <v>0</v>
      </c>
      <c r="Y18">
        <v>0</v>
      </c>
      <c r="Z18" t="s">
        <v>236</v>
      </c>
      <c r="AA18" t="s">
        <v>237</v>
      </c>
      <c r="AB18" t="s">
        <v>668</v>
      </c>
      <c r="AC18" t="s">
        <v>132</v>
      </c>
      <c r="AH18">
        <v>180</v>
      </c>
      <c r="AI18">
        <v>90</v>
      </c>
      <c r="AJ18">
        <v>90</v>
      </c>
      <c r="AK18">
        <v>0</v>
      </c>
      <c r="AL18">
        <v>0</v>
      </c>
      <c r="AM18" t="s">
        <v>238</v>
      </c>
      <c r="AN18">
        <v>45</v>
      </c>
      <c r="AO18">
        <v>0</v>
      </c>
      <c r="AP18">
        <v>0</v>
      </c>
      <c r="AQ18" t="s">
        <v>239</v>
      </c>
      <c r="AR18" t="s">
        <v>240</v>
      </c>
    </row>
    <row r="19" spans="1:48" x14ac:dyDescent="0.35">
      <c r="A19" t="s">
        <v>50</v>
      </c>
      <c r="B19" t="s">
        <v>47</v>
      </c>
      <c r="E19" t="s">
        <v>241</v>
      </c>
      <c r="F19" t="s">
        <v>742</v>
      </c>
      <c r="G19" t="s">
        <v>128</v>
      </c>
      <c r="H19">
        <v>1</v>
      </c>
      <c r="I19" t="s">
        <v>242</v>
      </c>
      <c r="J19" t="s">
        <v>54</v>
      </c>
      <c r="K19" t="s">
        <v>742</v>
      </c>
      <c r="L19" t="s">
        <v>243</v>
      </c>
      <c r="M19" t="s">
        <v>244</v>
      </c>
      <c r="N19" t="s">
        <v>132</v>
      </c>
      <c r="O19" t="s">
        <v>245</v>
      </c>
      <c r="P19" t="s">
        <v>196</v>
      </c>
      <c r="Q19" t="s">
        <v>196</v>
      </c>
      <c r="R19">
        <v>0</v>
      </c>
      <c r="S19">
        <v>0</v>
      </c>
      <c r="T19">
        <v>0</v>
      </c>
      <c r="U19" t="s">
        <v>136</v>
      </c>
      <c r="V19" t="s">
        <v>62</v>
      </c>
      <c r="W19">
        <v>0</v>
      </c>
      <c r="X19">
        <v>0</v>
      </c>
      <c r="Y19">
        <v>0</v>
      </c>
      <c r="Z19" t="s">
        <v>197</v>
      </c>
      <c r="AA19" t="s">
        <v>198</v>
      </c>
      <c r="AB19" t="s">
        <v>669</v>
      </c>
      <c r="AC19" t="s">
        <v>132</v>
      </c>
      <c r="AU19">
        <v>2.1</v>
      </c>
      <c r="AV19" t="s">
        <v>1204</v>
      </c>
    </row>
    <row r="20" spans="1:48" x14ac:dyDescent="0.35">
      <c r="A20" t="s">
        <v>50</v>
      </c>
      <c r="B20" t="s">
        <v>47</v>
      </c>
      <c r="E20" t="s">
        <v>246</v>
      </c>
      <c r="F20" t="s">
        <v>247</v>
      </c>
      <c r="G20" t="s">
        <v>52</v>
      </c>
      <c r="H20">
        <v>1</v>
      </c>
      <c r="I20" t="s">
        <v>248</v>
      </c>
      <c r="J20" t="s">
        <v>54</v>
      </c>
      <c r="K20" t="s">
        <v>247</v>
      </c>
      <c r="L20" t="s">
        <v>249</v>
      </c>
      <c r="M20" t="s">
        <v>250</v>
      </c>
      <c r="N20" t="s">
        <v>180</v>
      </c>
      <c r="O20" t="s">
        <v>251</v>
      </c>
      <c r="P20" t="s">
        <v>252</v>
      </c>
      <c r="Q20" t="s">
        <v>147</v>
      </c>
      <c r="R20">
        <v>4</v>
      </c>
      <c r="S20">
        <v>27</v>
      </c>
      <c r="T20">
        <v>0</v>
      </c>
      <c r="U20" t="s">
        <v>253</v>
      </c>
      <c r="V20" t="s">
        <v>62</v>
      </c>
      <c r="W20">
        <v>16</v>
      </c>
      <c r="X20">
        <v>0</v>
      </c>
      <c r="Y20">
        <v>0</v>
      </c>
      <c r="Z20" t="s">
        <v>254</v>
      </c>
      <c r="AA20" t="s">
        <v>255</v>
      </c>
      <c r="AB20" t="s">
        <v>743</v>
      </c>
      <c r="AC20" t="s">
        <v>180</v>
      </c>
      <c r="AD20">
        <v>153</v>
      </c>
      <c r="AE20" t="s">
        <v>256</v>
      </c>
      <c r="AF20">
        <v>75</v>
      </c>
      <c r="AG20" t="s">
        <v>257</v>
      </c>
      <c r="AH20">
        <v>11</v>
      </c>
      <c r="AI20">
        <v>5</v>
      </c>
      <c r="AJ20">
        <v>5</v>
      </c>
      <c r="AK20">
        <v>30</v>
      </c>
      <c r="AL20">
        <v>0</v>
      </c>
      <c r="AM20" t="s">
        <v>112</v>
      </c>
      <c r="AN20">
        <v>2</v>
      </c>
      <c r="AO20">
        <v>30</v>
      </c>
      <c r="AP20">
        <v>0</v>
      </c>
      <c r="AQ20" t="s">
        <v>113</v>
      </c>
      <c r="AR20" t="s">
        <v>114</v>
      </c>
      <c r="AS20">
        <v>-2.7</v>
      </c>
      <c r="AT20" t="s">
        <v>258</v>
      </c>
      <c r="AU20">
        <v>0.5</v>
      </c>
      <c r="AV20" t="s">
        <v>1205</v>
      </c>
    </row>
    <row r="21" spans="1:48" x14ac:dyDescent="0.35">
      <c r="A21" t="s">
        <v>50</v>
      </c>
      <c r="B21" t="s">
        <v>47</v>
      </c>
      <c r="E21" t="s">
        <v>259</v>
      </c>
      <c r="F21" t="s">
        <v>744</v>
      </c>
      <c r="G21" t="s">
        <v>70</v>
      </c>
      <c r="H21">
        <v>1</v>
      </c>
      <c r="I21" t="s">
        <v>260</v>
      </c>
      <c r="J21" t="s">
        <v>54</v>
      </c>
      <c r="K21" t="s">
        <v>744</v>
      </c>
      <c r="L21" t="s">
        <v>233</v>
      </c>
      <c r="M21" t="s">
        <v>261</v>
      </c>
      <c r="N21" t="s">
        <v>132</v>
      </c>
      <c r="O21" t="s">
        <v>234</v>
      </c>
      <c r="P21" t="s">
        <v>262</v>
      </c>
      <c r="Q21" t="s">
        <v>75</v>
      </c>
      <c r="R21">
        <v>10</v>
      </c>
      <c r="S21">
        <v>8</v>
      </c>
      <c r="T21">
        <v>0</v>
      </c>
      <c r="U21" t="s">
        <v>263</v>
      </c>
      <c r="V21" t="s">
        <v>62</v>
      </c>
      <c r="W21">
        <v>22</v>
      </c>
      <c r="X21">
        <v>0</v>
      </c>
      <c r="Y21">
        <v>0</v>
      </c>
      <c r="Z21" t="s">
        <v>227</v>
      </c>
      <c r="AA21" t="s">
        <v>264</v>
      </c>
      <c r="AB21" t="s">
        <v>745</v>
      </c>
      <c r="AC21" t="s">
        <v>132</v>
      </c>
      <c r="AH21">
        <v>174.19</v>
      </c>
      <c r="AI21">
        <v>87.1</v>
      </c>
      <c r="AJ21">
        <v>90</v>
      </c>
      <c r="AK21">
        <v>0</v>
      </c>
      <c r="AL21">
        <v>0</v>
      </c>
      <c r="AM21" t="s">
        <v>238</v>
      </c>
      <c r="AN21">
        <v>45</v>
      </c>
      <c r="AO21">
        <v>0</v>
      </c>
      <c r="AP21">
        <v>0</v>
      </c>
      <c r="AQ21" t="s">
        <v>239</v>
      </c>
      <c r="AR21" t="s">
        <v>265</v>
      </c>
    </row>
    <row r="22" spans="1:48" x14ac:dyDescent="0.35">
      <c r="A22" t="s">
        <v>50</v>
      </c>
      <c r="B22" t="s">
        <v>47</v>
      </c>
      <c r="E22" t="s">
        <v>266</v>
      </c>
      <c r="F22" t="s">
        <v>267</v>
      </c>
      <c r="G22" t="s">
        <v>52</v>
      </c>
      <c r="H22">
        <v>1</v>
      </c>
      <c r="I22" t="s">
        <v>268</v>
      </c>
      <c r="J22" t="s">
        <v>54</v>
      </c>
      <c r="K22" t="s">
        <v>267</v>
      </c>
      <c r="L22" t="s">
        <v>106</v>
      </c>
      <c r="M22" t="s">
        <v>269</v>
      </c>
      <c r="N22" t="s">
        <v>15</v>
      </c>
      <c r="O22" t="s">
        <v>108</v>
      </c>
      <c r="P22" t="s">
        <v>267</v>
      </c>
      <c r="Q22" t="s">
        <v>60</v>
      </c>
      <c r="R22">
        <v>18</v>
      </c>
      <c r="S22">
        <v>50</v>
      </c>
      <c r="T22">
        <v>0</v>
      </c>
      <c r="U22" t="s">
        <v>270</v>
      </c>
      <c r="V22" t="s">
        <v>62</v>
      </c>
      <c r="W22">
        <v>36</v>
      </c>
      <c r="X22">
        <v>40</v>
      </c>
      <c r="Y22">
        <v>0</v>
      </c>
      <c r="Z22" t="s">
        <v>271</v>
      </c>
      <c r="AA22" t="s">
        <v>272</v>
      </c>
      <c r="AB22" t="s">
        <v>670</v>
      </c>
      <c r="AC22" t="s">
        <v>15</v>
      </c>
      <c r="AH22">
        <v>7.74</v>
      </c>
      <c r="AI22">
        <v>5.81</v>
      </c>
      <c r="AJ22">
        <v>4</v>
      </c>
      <c r="AK22">
        <v>0</v>
      </c>
      <c r="AL22">
        <v>0</v>
      </c>
      <c r="AM22" t="s">
        <v>273</v>
      </c>
      <c r="AN22">
        <v>3</v>
      </c>
      <c r="AO22">
        <v>0</v>
      </c>
      <c r="AP22">
        <v>0</v>
      </c>
      <c r="AQ22" t="s">
        <v>229</v>
      </c>
      <c r="AR22" t="s">
        <v>274</v>
      </c>
    </row>
    <row r="23" spans="1:48" x14ac:dyDescent="0.35">
      <c r="A23" t="s">
        <v>50</v>
      </c>
      <c r="B23" t="s">
        <v>47</v>
      </c>
      <c r="E23" t="s">
        <v>275</v>
      </c>
      <c r="F23" t="s">
        <v>276</v>
      </c>
      <c r="G23" t="s">
        <v>70</v>
      </c>
      <c r="H23">
        <v>1</v>
      </c>
      <c r="I23" t="s">
        <v>277</v>
      </c>
      <c r="J23" t="s">
        <v>54</v>
      </c>
      <c r="K23" t="s">
        <v>276</v>
      </c>
      <c r="L23" t="s">
        <v>278</v>
      </c>
      <c r="M23" t="s">
        <v>279</v>
      </c>
      <c r="N23" t="s">
        <v>180</v>
      </c>
      <c r="O23" t="s">
        <v>251</v>
      </c>
      <c r="P23" t="s">
        <v>280</v>
      </c>
      <c r="Q23" t="s">
        <v>60</v>
      </c>
      <c r="R23">
        <v>18</v>
      </c>
      <c r="S23">
        <v>51</v>
      </c>
      <c r="T23">
        <v>6</v>
      </c>
      <c r="U23" t="s">
        <v>281</v>
      </c>
      <c r="V23" t="s">
        <v>282</v>
      </c>
      <c r="W23">
        <v>6</v>
      </c>
      <c r="X23">
        <v>16</v>
      </c>
      <c r="Y23">
        <v>0</v>
      </c>
      <c r="Z23" t="s">
        <v>283</v>
      </c>
      <c r="AA23" t="s">
        <v>284</v>
      </c>
      <c r="AB23" t="s">
        <v>746</v>
      </c>
      <c r="AC23" t="s">
        <v>180</v>
      </c>
      <c r="AD23">
        <v>6120</v>
      </c>
      <c r="AE23" t="s">
        <v>285</v>
      </c>
      <c r="AF23">
        <v>20</v>
      </c>
      <c r="AG23" t="s">
        <v>286</v>
      </c>
      <c r="AH23">
        <v>0.45</v>
      </c>
      <c r="AI23">
        <v>0.45</v>
      </c>
      <c r="AJ23">
        <v>0</v>
      </c>
      <c r="AK23">
        <v>14</v>
      </c>
      <c r="AL23">
        <v>0</v>
      </c>
      <c r="AM23" t="s">
        <v>287</v>
      </c>
      <c r="AN23">
        <v>0</v>
      </c>
      <c r="AO23">
        <v>14</v>
      </c>
      <c r="AP23">
        <v>0</v>
      </c>
      <c r="AQ23" t="s">
        <v>287</v>
      </c>
      <c r="AR23" t="s">
        <v>288</v>
      </c>
      <c r="AS23">
        <v>-6.3</v>
      </c>
      <c r="AT23" t="s">
        <v>289</v>
      </c>
      <c r="AU23">
        <v>5.8</v>
      </c>
      <c r="AV23" t="s">
        <v>1206</v>
      </c>
    </row>
    <row r="24" spans="1:48" x14ac:dyDescent="0.35">
      <c r="A24" t="s">
        <v>50</v>
      </c>
      <c r="B24" t="s">
        <v>47</v>
      </c>
      <c r="E24" t="s">
        <v>290</v>
      </c>
      <c r="F24" t="s">
        <v>291</v>
      </c>
      <c r="G24" t="s">
        <v>70</v>
      </c>
      <c r="H24">
        <v>1</v>
      </c>
      <c r="I24" t="s">
        <v>292</v>
      </c>
      <c r="J24" t="s">
        <v>54</v>
      </c>
      <c r="K24" t="s">
        <v>291</v>
      </c>
      <c r="L24" t="s">
        <v>278</v>
      </c>
      <c r="M24" t="s">
        <v>293</v>
      </c>
      <c r="N24" t="s">
        <v>180</v>
      </c>
      <c r="O24" t="s">
        <v>294</v>
      </c>
      <c r="P24" t="s">
        <v>295</v>
      </c>
      <c r="Q24" t="s">
        <v>60</v>
      </c>
      <c r="R24">
        <v>16</v>
      </c>
      <c r="S24">
        <v>41</v>
      </c>
      <c r="T24">
        <v>41</v>
      </c>
      <c r="U24" t="s">
        <v>296</v>
      </c>
      <c r="V24" t="s">
        <v>62</v>
      </c>
      <c r="W24">
        <v>36</v>
      </c>
      <c r="X24">
        <v>28</v>
      </c>
      <c r="Y24">
        <v>0</v>
      </c>
      <c r="Z24" t="s">
        <v>297</v>
      </c>
      <c r="AA24" t="s">
        <v>298</v>
      </c>
      <c r="AB24" t="s">
        <v>671</v>
      </c>
      <c r="AC24" t="s">
        <v>180</v>
      </c>
      <c r="AD24">
        <v>25000</v>
      </c>
      <c r="AE24" t="s">
        <v>299</v>
      </c>
      <c r="AF24">
        <v>145</v>
      </c>
      <c r="AG24" t="s">
        <v>300</v>
      </c>
      <c r="AH24">
        <v>0.65</v>
      </c>
      <c r="AI24">
        <v>0.65</v>
      </c>
      <c r="AJ24">
        <v>0</v>
      </c>
      <c r="AK24">
        <v>20</v>
      </c>
      <c r="AL24">
        <v>0</v>
      </c>
      <c r="AM24" t="s">
        <v>301</v>
      </c>
      <c r="AN24">
        <v>0</v>
      </c>
      <c r="AO24">
        <v>20</v>
      </c>
      <c r="AP24">
        <v>0</v>
      </c>
      <c r="AQ24" t="s">
        <v>301</v>
      </c>
      <c r="AR24" t="s">
        <v>302</v>
      </c>
      <c r="AS24">
        <v>-8.5</v>
      </c>
      <c r="AT24" t="s">
        <v>303</v>
      </c>
      <c r="AU24">
        <v>5.8</v>
      </c>
      <c r="AV24" t="s">
        <v>1206</v>
      </c>
    </row>
    <row r="25" spans="1:48" x14ac:dyDescent="0.35">
      <c r="A25" t="s">
        <v>50</v>
      </c>
      <c r="B25" t="s">
        <v>47</v>
      </c>
      <c r="E25" t="s">
        <v>304</v>
      </c>
      <c r="F25" t="s">
        <v>747</v>
      </c>
      <c r="G25" t="s">
        <v>305</v>
      </c>
      <c r="H25">
        <v>1</v>
      </c>
      <c r="I25" t="s">
        <v>306</v>
      </c>
      <c r="J25" t="s">
        <v>54</v>
      </c>
      <c r="K25" t="s">
        <v>747</v>
      </c>
      <c r="L25" t="s">
        <v>278</v>
      </c>
      <c r="M25" t="s">
        <v>307</v>
      </c>
      <c r="N25" t="s">
        <v>180</v>
      </c>
      <c r="O25" t="s">
        <v>308</v>
      </c>
      <c r="P25" t="s">
        <v>309</v>
      </c>
      <c r="Q25" t="s">
        <v>60</v>
      </c>
      <c r="R25">
        <v>18</v>
      </c>
      <c r="S25">
        <v>18</v>
      </c>
      <c r="T25">
        <v>48</v>
      </c>
      <c r="U25" t="s">
        <v>310</v>
      </c>
      <c r="V25" t="s">
        <v>282</v>
      </c>
      <c r="W25">
        <v>13</v>
      </c>
      <c r="X25">
        <v>49</v>
      </c>
      <c r="Y25">
        <v>0</v>
      </c>
      <c r="Z25" t="s">
        <v>311</v>
      </c>
      <c r="AA25" t="s">
        <v>312</v>
      </c>
      <c r="AB25" t="s">
        <v>748</v>
      </c>
      <c r="AC25" t="s">
        <v>180</v>
      </c>
      <c r="AD25">
        <v>5700</v>
      </c>
      <c r="AE25" t="s">
        <v>313</v>
      </c>
      <c r="AF25">
        <v>70</v>
      </c>
      <c r="AG25" t="s">
        <v>217</v>
      </c>
      <c r="AH25">
        <v>1.1299999999999999</v>
      </c>
      <c r="AI25">
        <v>0.9</v>
      </c>
      <c r="AJ25">
        <v>0</v>
      </c>
      <c r="AK25">
        <v>35</v>
      </c>
      <c r="AL25">
        <v>0</v>
      </c>
      <c r="AM25" t="s">
        <v>314</v>
      </c>
      <c r="AN25">
        <v>0</v>
      </c>
      <c r="AO25">
        <v>28</v>
      </c>
      <c r="AP25">
        <v>0</v>
      </c>
      <c r="AQ25" t="s">
        <v>315</v>
      </c>
      <c r="AR25" t="s">
        <v>316</v>
      </c>
      <c r="AS25">
        <v>-6.4</v>
      </c>
      <c r="AT25" t="s">
        <v>317</v>
      </c>
      <c r="AU25">
        <v>6.4</v>
      </c>
      <c r="AV25" t="s">
        <v>1207</v>
      </c>
    </row>
    <row r="26" spans="1:48" x14ac:dyDescent="0.35">
      <c r="A26" t="s">
        <v>50</v>
      </c>
      <c r="B26" t="s">
        <v>47</v>
      </c>
      <c r="E26" t="s">
        <v>318</v>
      </c>
      <c r="F26" t="s">
        <v>749</v>
      </c>
      <c r="G26" t="s">
        <v>305</v>
      </c>
      <c r="H26">
        <v>1</v>
      </c>
      <c r="I26" t="s">
        <v>319</v>
      </c>
      <c r="J26" t="s">
        <v>54</v>
      </c>
      <c r="K26" t="s">
        <v>749</v>
      </c>
      <c r="L26" t="s">
        <v>278</v>
      </c>
      <c r="M26" t="s">
        <v>320</v>
      </c>
      <c r="N26" t="s">
        <v>180</v>
      </c>
      <c r="O26" t="s">
        <v>321</v>
      </c>
      <c r="P26" t="s">
        <v>322</v>
      </c>
      <c r="Q26" t="s">
        <v>60</v>
      </c>
      <c r="R26">
        <v>18</v>
      </c>
      <c r="S26">
        <v>20</v>
      </c>
      <c r="T26">
        <v>47</v>
      </c>
      <c r="U26" t="s">
        <v>323</v>
      </c>
      <c r="V26" t="s">
        <v>282</v>
      </c>
      <c r="W26">
        <v>16</v>
      </c>
      <c r="X26">
        <v>11</v>
      </c>
      <c r="Y26">
        <v>0</v>
      </c>
      <c r="Z26" t="s">
        <v>324</v>
      </c>
      <c r="AA26" t="s">
        <v>325</v>
      </c>
      <c r="AB26" t="s">
        <v>750</v>
      </c>
      <c r="AC26" t="s">
        <v>180</v>
      </c>
      <c r="AD26">
        <v>5500</v>
      </c>
      <c r="AE26" t="s">
        <v>326</v>
      </c>
      <c r="AF26">
        <v>15</v>
      </c>
      <c r="AG26" t="s">
        <v>327</v>
      </c>
      <c r="AH26">
        <v>0.65</v>
      </c>
      <c r="AI26">
        <v>0.48</v>
      </c>
      <c r="AJ26">
        <v>0</v>
      </c>
      <c r="AK26">
        <v>20</v>
      </c>
      <c r="AL26">
        <v>0</v>
      </c>
      <c r="AM26" t="s">
        <v>301</v>
      </c>
      <c r="AN26">
        <v>0</v>
      </c>
      <c r="AO26">
        <v>15</v>
      </c>
      <c r="AP26">
        <v>0</v>
      </c>
      <c r="AQ26" t="s">
        <v>328</v>
      </c>
      <c r="AR26" t="s">
        <v>329</v>
      </c>
      <c r="AS26">
        <v>-5.8</v>
      </c>
      <c r="AT26" t="s">
        <v>330</v>
      </c>
      <c r="AU26">
        <v>6</v>
      </c>
      <c r="AV26" t="s">
        <v>1208</v>
      </c>
    </row>
    <row r="27" spans="1:48" x14ac:dyDescent="0.35">
      <c r="A27" t="s">
        <v>50</v>
      </c>
      <c r="B27" t="s">
        <v>47</v>
      </c>
      <c r="E27" t="s">
        <v>331</v>
      </c>
      <c r="F27" t="s">
        <v>332</v>
      </c>
      <c r="G27" t="s">
        <v>70</v>
      </c>
      <c r="H27">
        <v>1</v>
      </c>
      <c r="I27" t="s">
        <v>333</v>
      </c>
      <c r="J27" t="s">
        <v>54</v>
      </c>
      <c r="K27" t="s">
        <v>332</v>
      </c>
      <c r="L27" t="s">
        <v>278</v>
      </c>
      <c r="M27" t="s">
        <v>332</v>
      </c>
      <c r="N27" t="s">
        <v>180</v>
      </c>
      <c r="O27" t="s">
        <v>294</v>
      </c>
      <c r="P27" t="s">
        <v>322</v>
      </c>
      <c r="Q27" t="s">
        <v>60</v>
      </c>
      <c r="R27">
        <v>18</v>
      </c>
      <c r="S27">
        <v>36</v>
      </c>
      <c r="T27">
        <v>24</v>
      </c>
      <c r="U27" t="s">
        <v>334</v>
      </c>
      <c r="V27" t="s">
        <v>282</v>
      </c>
      <c r="W27">
        <v>23</v>
      </c>
      <c r="X27">
        <v>54</v>
      </c>
      <c r="Y27">
        <v>0</v>
      </c>
      <c r="Z27" t="s">
        <v>335</v>
      </c>
      <c r="AA27" t="s">
        <v>336</v>
      </c>
      <c r="AB27" t="s">
        <v>751</v>
      </c>
      <c r="AC27" t="s">
        <v>180</v>
      </c>
      <c r="AD27">
        <v>10600</v>
      </c>
      <c r="AE27" t="s">
        <v>337</v>
      </c>
      <c r="AF27">
        <v>100</v>
      </c>
      <c r="AG27" t="s">
        <v>338</v>
      </c>
      <c r="AH27">
        <v>0.77</v>
      </c>
      <c r="AI27">
        <v>0.77</v>
      </c>
      <c r="AJ27">
        <v>0</v>
      </c>
      <c r="AK27">
        <v>24</v>
      </c>
      <c r="AL27">
        <v>0</v>
      </c>
      <c r="AM27" t="s">
        <v>339</v>
      </c>
      <c r="AN27">
        <v>0</v>
      </c>
      <c r="AO27">
        <v>24</v>
      </c>
      <c r="AP27">
        <v>0</v>
      </c>
      <c r="AQ27" t="s">
        <v>339</v>
      </c>
      <c r="AR27" t="s">
        <v>340</v>
      </c>
      <c r="AS27">
        <v>-8.5</v>
      </c>
      <c r="AT27" t="s">
        <v>303</v>
      </c>
      <c r="AU27">
        <v>5.0999999999999996</v>
      </c>
      <c r="AV27" t="s">
        <v>1209</v>
      </c>
    </row>
    <row r="28" spans="1:48" x14ac:dyDescent="0.35">
      <c r="A28" t="s">
        <v>50</v>
      </c>
      <c r="B28" t="s">
        <v>47</v>
      </c>
      <c r="E28" t="s">
        <v>341</v>
      </c>
      <c r="F28" t="s">
        <v>342</v>
      </c>
      <c r="G28" t="s">
        <v>52</v>
      </c>
      <c r="H28">
        <v>1</v>
      </c>
      <c r="I28" t="s">
        <v>343</v>
      </c>
      <c r="J28" t="s">
        <v>54</v>
      </c>
      <c r="K28" t="s">
        <v>752</v>
      </c>
      <c r="L28" t="s">
        <v>278</v>
      </c>
      <c r="M28" t="s">
        <v>344</v>
      </c>
      <c r="N28" t="s">
        <v>180</v>
      </c>
      <c r="O28" t="s">
        <v>345</v>
      </c>
      <c r="P28" t="s">
        <v>322</v>
      </c>
      <c r="Q28" t="s">
        <v>60</v>
      </c>
      <c r="R28">
        <v>18</v>
      </c>
      <c r="S28">
        <v>16</v>
      </c>
      <c r="T28">
        <v>48</v>
      </c>
      <c r="U28" t="s">
        <v>346</v>
      </c>
      <c r="V28" t="s">
        <v>282</v>
      </c>
      <c r="W28">
        <v>18</v>
      </c>
      <c r="X28">
        <v>29</v>
      </c>
      <c r="Y28">
        <v>0</v>
      </c>
      <c r="Z28" t="s">
        <v>347</v>
      </c>
      <c r="AA28" t="s">
        <v>348</v>
      </c>
      <c r="AB28" t="s">
        <v>753</v>
      </c>
      <c r="AC28" t="s">
        <v>180</v>
      </c>
      <c r="AD28">
        <v>10000</v>
      </c>
      <c r="AE28" t="s">
        <v>349</v>
      </c>
      <c r="AF28">
        <v>600</v>
      </c>
      <c r="AG28" t="s">
        <v>350</v>
      </c>
      <c r="AH28">
        <v>3.87</v>
      </c>
      <c r="AI28">
        <v>1.94</v>
      </c>
      <c r="AJ28">
        <v>2</v>
      </c>
      <c r="AK28">
        <v>0</v>
      </c>
      <c r="AL28">
        <v>0</v>
      </c>
      <c r="AM28" t="s">
        <v>351</v>
      </c>
      <c r="AN28">
        <v>1</v>
      </c>
      <c r="AO28">
        <v>0</v>
      </c>
      <c r="AP28">
        <v>0</v>
      </c>
      <c r="AQ28" t="s">
        <v>218</v>
      </c>
      <c r="AR28" t="s">
        <v>352</v>
      </c>
      <c r="AU28">
        <v>2.5</v>
      </c>
      <c r="AV28" t="s">
        <v>1210</v>
      </c>
    </row>
    <row r="29" spans="1:48" x14ac:dyDescent="0.35">
      <c r="A29" t="s">
        <v>50</v>
      </c>
      <c r="B29" t="s">
        <v>47</v>
      </c>
      <c r="E29" t="s">
        <v>353</v>
      </c>
      <c r="F29" t="s">
        <v>754</v>
      </c>
      <c r="G29" t="s">
        <v>70</v>
      </c>
      <c r="H29">
        <v>1</v>
      </c>
      <c r="I29" t="s">
        <v>354</v>
      </c>
      <c r="J29" t="s">
        <v>54</v>
      </c>
      <c r="K29" t="s">
        <v>754</v>
      </c>
      <c r="L29" t="s">
        <v>278</v>
      </c>
      <c r="M29" t="s">
        <v>355</v>
      </c>
      <c r="N29" t="s">
        <v>180</v>
      </c>
      <c r="O29" t="s">
        <v>356</v>
      </c>
      <c r="P29" t="s">
        <v>182</v>
      </c>
      <c r="Q29" t="s">
        <v>60</v>
      </c>
      <c r="R29">
        <v>19</v>
      </c>
      <c r="S29">
        <v>59</v>
      </c>
      <c r="T29">
        <v>36</v>
      </c>
      <c r="U29" t="s">
        <v>357</v>
      </c>
      <c r="V29" t="s">
        <v>62</v>
      </c>
      <c r="W29">
        <v>22</v>
      </c>
      <c r="X29">
        <v>43</v>
      </c>
      <c r="Y29">
        <v>0</v>
      </c>
      <c r="Z29" t="s">
        <v>358</v>
      </c>
      <c r="AA29" t="s">
        <v>359</v>
      </c>
      <c r="AB29" t="s">
        <v>672</v>
      </c>
      <c r="AC29" t="s">
        <v>180</v>
      </c>
      <c r="AD29">
        <v>1360</v>
      </c>
      <c r="AE29" t="s">
        <v>360</v>
      </c>
      <c r="AF29">
        <v>2.5</v>
      </c>
      <c r="AG29" t="s">
        <v>361</v>
      </c>
      <c r="AH29">
        <v>0.27</v>
      </c>
      <c r="AI29">
        <v>0.18</v>
      </c>
      <c r="AJ29">
        <v>0</v>
      </c>
      <c r="AK29">
        <v>8</v>
      </c>
      <c r="AL29">
        <v>0</v>
      </c>
      <c r="AM29" t="s">
        <v>362</v>
      </c>
      <c r="AN29">
        <v>0</v>
      </c>
      <c r="AO29">
        <v>5</v>
      </c>
      <c r="AP29">
        <v>0</v>
      </c>
      <c r="AQ29" t="s">
        <v>363</v>
      </c>
      <c r="AR29" t="s">
        <v>364</v>
      </c>
      <c r="AS29">
        <v>-0.5</v>
      </c>
      <c r="AT29" t="s">
        <v>365</v>
      </c>
      <c r="AU29">
        <v>7.4</v>
      </c>
      <c r="AV29" t="s">
        <v>1211</v>
      </c>
    </row>
    <row r="30" spans="1:48" x14ac:dyDescent="0.35">
      <c r="A30" t="s">
        <v>50</v>
      </c>
      <c r="B30" t="s">
        <v>47</v>
      </c>
      <c r="E30" t="s">
        <v>366</v>
      </c>
      <c r="F30" t="s">
        <v>755</v>
      </c>
      <c r="G30" t="s">
        <v>52</v>
      </c>
      <c r="H30">
        <v>1</v>
      </c>
      <c r="I30" t="s">
        <v>367</v>
      </c>
      <c r="J30" t="s">
        <v>54</v>
      </c>
      <c r="K30" t="s">
        <v>755</v>
      </c>
      <c r="L30" t="s">
        <v>278</v>
      </c>
      <c r="M30" t="s">
        <v>368</v>
      </c>
      <c r="N30" t="s">
        <v>180</v>
      </c>
      <c r="O30" t="s">
        <v>369</v>
      </c>
      <c r="P30" t="s">
        <v>86</v>
      </c>
      <c r="Q30" t="s">
        <v>75</v>
      </c>
      <c r="R30">
        <v>0</v>
      </c>
      <c r="S30">
        <v>42</v>
      </c>
      <c r="T30">
        <v>44.3</v>
      </c>
      <c r="U30" t="s">
        <v>370</v>
      </c>
      <c r="V30" t="s">
        <v>62</v>
      </c>
      <c r="W30">
        <v>41</v>
      </c>
      <c r="X30">
        <v>16</v>
      </c>
      <c r="Y30">
        <v>9</v>
      </c>
      <c r="Z30" t="s">
        <v>371</v>
      </c>
      <c r="AA30" t="s">
        <v>372</v>
      </c>
      <c r="AB30" t="s">
        <v>756</v>
      </c>
      <c r="AC30" t="s">
        <v>180</v>
      </c>
      <c r="AD30">
        <v>2540000</v>
      </c>
      <c r="AE30" t="s">
        <v>373</v>
      </c>
      <c r="AF30">
        <v>220000</v>
      </c>
      <c r="AG30" t="s">
        <v>374</v>
      </c>
      <c r="AH30">
        <v>6</v>
      </c>
      <c r="AI30">
        <v>2</v>
      </c>
      <c r="AJ30">
        <v>3</v>
      </c>
      <c r="AK30">
        <v>0</v>
      </c>
      <c r="AL30">
        <v>0</v>
      </c>
      <c r="AM30" t="s">
        <v>229</v>
      </c>
      <c r="AN30">
        <v>1</v>
      </c>
      <c r="AO30">
        <v>0</v>
      </c>
      <c r="AP30">
        <v>0</v>
      </c>
      <c r="AQ30" t="s">
        <v>218</v>
      </c>
      <c r="AR30" t="s">
        <v>375</v>
      </c>
      <c r="AS30">
        <v>-21.5</v>
      </c>
      <c r="AT30" t="s">
        <v>376</v>
      </c>
      <c r="AU30">
        <v>3.44</v>
      </c>
      <c r="AV30" t="s">
        <v>1212</v>
      </c>
    </row>
    <row r="31" spans="1:48" x14ac:dyDescent="0.35">
      <c r="A31" t="s">
        <v>50</v>
      </c>
      <c r="B31" t="s">
        <v>47</v>
      </c>
      <c r="E31" t="s">
        <v>377</v>
      </c>
      <c r="F31" t="s">
        <v>378</v>
      </c>
      <c r="G31" t="s">
        <v>305</v>
      </c>
      <c r="H31">
        <v>1</v>
      </c>
      <c r="I31" t="s">
        <v>379</v>
      </c>
      <c r="J31" t="s">
        <v>54</v>
      </c>
      <c r="K31" t="s">
        <v>378</v>
      </c>
      <c r="L31" t="s">
        <v>278</v>
      </c>
      <c r="M31" t="s">
        <v>380</v>
      </c>
      <c r="N31" t="s">
        <v>180</v>
      </c>
      <c r="O31" t="s">
        <v>369</v>
      </c>
      <c r="P31" t="s">
        <v>381</v>
      </c>
      <c r="Q31" t="s">
        <v>75</v>
      </c>
      <c r="R31">
        <v>1</v>
      </c>
      <c r="S31">
        <v>33</v>
      </c>
      <c r="T31">
        <v>51</v>
      </c>
      <c r="U31" t="s">
        <v>382</v>
      </c>
      <c r="V31" t="s">
        <v>62</v>
      </c>
      <c r="W31">
        <v>30</v>
      </c>
      <c r="X31">
        <v>39</v>
      </c>
      <c r="Y31">
        <v>37</v>
      </c>
      <c r="Z31" t="s">
        <v>383</v>
      </c>
      <c r="AA31" t="s">
        <v>384</v>
      </c>
      <c r="AB31" t="s">
        <v>757</v>
      </c>
      <c r="AC31" t="s">
        <v>180</v>
      </c>
      <c r="AD31">
        <v>2730000</v>
      </c>
      <c r="AE31" t="s">
        <v>385</v>
      </c>
      <c r="AF31">
        <v>60000</v>
      </c>
      <c r="AG31" t="s">
        <v>386</v>
      </c>
      <c r="AH31">
        <v>2.2999999999999998</v>
      </c>
      <c r="AI31">
        <v>1.5</v>
      </c>
      <c r="AJ31">
        <v>1</v>
      </c>
      <c r="AK31">
        <v>8</v>
      </c>
      <c r="AL31">
        <v>0</v>
      </c>
      <c r="AM31" t="s">
        <v>387</v>
      </c>
      <c r="AN31">
        <v>0</v>
      </c>
      <c r="AO31">
        <v>45</v>
      </c>
      <c r="AP31">
        <v>0</v>
      </c>
      <c r="AQ31" t="s">
        <v>388</v>
      </c>
      <c r="AR31" t="s">
        <v>389</v>
      </c>
      <c r="AS31">
        <v>-18.899999999999999</v>
      </c>
      <c r="AT31" t="s">
        <v>390</v>
      </c>
      <c r="AU31">
        <v>5.72</v>
      </c>
      <c r="AV31" t="s">
        <v>1213</v>
      </c>
    </row>
    <row r="32" spans="1:48" x14ac:dyDescent="0.35">
      <c r="A32" t="s">
        <v>50</v>
      </c>
      <c r="B32" t="s">
        <v>47</v>
      </c>
      <c r="E32" t="s">
        <v>391</v>
      </c>
      <c r="F32" t="s">
        <v>392</v>
      </c>
      <c r="G32" t="s">
        <v>70</v>
      </c>
      <c r="H32">
        <v>1</v>
      </c>
      <c r="I32" t="s">
        <v>393</v>
      </c>
      <c r="J32" t="s">
        <v>54</v>
      </c>
      <c r="K32" t="s">
        <v>392</v>
      </c>
      <c r="L32" t="s">
        <v>278</v>
      </c>
      <c r="M32" t="s">
        <v>392</v>
      </c>
      <c r="N32" t="s">
        <v>180</v>
      </c>
      <c r="O32" t="s">
        <v>251</v>
      </c>
      <c r="P32" t="s">
        <v>159</v>
      </c>
      <c r="Q32" t="s">
        <v>147</v>
      </c>
      <c r="R32">
        <v>5</v>
      </c>
      <c r="S32">
        <v>52</v>
      </c>
      <c r="T32">
        <v>18</v>
      </c>
      <c r="U32" t="s">
        <v>394</v>
      </c>
      <c r="V32" t="s">
        <v>62</v>
      </c>
      <c r="W32">
        <v>32</v>
      </c>
      <c r="X32">
        <v>33</v>
      </c>
      <c r="Y32">
        <v>0</v>
      </c>
      <c r="Z32" t="s">
        <v>395</v>
      </c>
      <c r="AA32" t="s">
        <v>396</v>
      </c>
      <c r="AB32" t="s">
        <v>758</v>
      </c>
      <c r="AC32" t="s">
        <v>180</v>
      </c>
      <c r="AD32">
        <v>4500</v>
      </c>
      <c r="AE32" t="s">
        <v>397</v>
      </c>
      <c r="AF32">
        <v>25</v>
      </c>
      <c r="AG32" t="s">
        <v>398</v>
      </c>
      <c r="AH32">
        <v>0.77</v>
      </c>
      <c r="AI32">
        <v>0.77</v>
      </c>
      <c r="AJ32">
        <v>0</v>
      </c>
      <c r="AK32">
        <v>24</v>
      </c>
      <c r="AL32">
        <v>0</v>
      </c>
      <c r="AM32" t="s">
        <v>339</v>
      </c>
      <c r="AN32">
        <v>0</v>
      </c>
      <c r="AO32">
        <v>24</v>
      </c>
      <c r="AP32">
        <v>0</v>
      </c>
      <c r="AQ32" t="s">
        <v>339</v>
      </c>
      <c r="AR32" t="s">
        <v>340</v>
      </c>
      <c r="AS32">
        <v>-5</v>
      </c>
      <c r="AT32" t="s">
        <v>399</v>
      </c>
      <c r="AU32">
        <v>6.2</v>
      </c>
      <c r="AV32" t="s">
        <v>1214</v>
      </c>
    </row>
    <row r="33" spans="1:48" x14ac:dyDescent="0.35">
      <c r="A33" t="s">
        <v>50</v>
      </c>
      <c r="B33" t="s">
        <v>47</v>
      </c>
      <c r="E33" t="s">
        <v>400</v>
      </c>
      <c r="F33" t="s">
        <v>401</v>
      </c>
      <c r="G33" t="s">
        <v>70</v>
      </c>
      <c r="H33">
        <v>1</v>
      </c>
      <c r="I33" t="s">
        <v>402</v>
      </c>
      <c r="J33" t="s">
        <v>54</v>
      </c>
      <c r="K33" t="s">
        <v>401</v>
      </c>
      <c r="L33" t="s">
        <v>278</v>
      </c>
      <c r="M33" t="s">
        <v>401</v>
      </c>
      <c r="N33" t="s">
        <v>180</v>
      </c>
      <c r="O33" t="s">
        <v>251</v>
      </c>
      <c r="P33" t="s">
        <v>159</v>
      </c>
      <c r="Q33" t="s">
        <v>147</v>
      </c>
      <c r="R33">
        <v>5</v>
      </c>
      <c r="S33">
        <v>28</v>
      </c>
      <c r="T33">
        <v>42</v>
      </c>
      <c r="U33" t="s">
        <v>403</v>
      </c>
      <c r="V33" t="s">
        <v>62</v>
      </c>
      <c r="W33">
        <v>35</v>
      </c>
      <c r="X33">
        <v>51</v>
      </c>
      <c r="Y33">
        <v>0</v>
      </c>
      <c r="Z33" t="s">
        <v>404</v>
      </c>
      <c r="AA33" t="s">
        <v>405</v>
      </c>
      <c r="AB33" t="s">
        <v>759</v>
      </c>
      <c r="AC33" t="s">
        <v>180</v>
      </c>
      <c r="AD33">
        <v>4200</v>
      </c>
      <c r="AE33" t="s">
        <v>406</v>
      </c>
      <c r="AF33">
        <v>25</v>
      </c>
      <c r="AG33" t="s">
        <v>398</v>
      </c>
      <c r="AH33">
        <v>0.68</v>
      </c>
      <c r="AI33">
        <v>0.68</v>
      </c>
      <c r="AJ33">
        <v>0</v>
      </c>
      <c r="AK33">
        <v>21</v>
      </c>
      <c r="AL33">
        <v>0</v>
      </c>
      <c r="AM33" t="s">
        <v>407</v>
      </c>
      <c r="AN33">
        <v>0</v>
      </c>
      <c r="AO33">
        <v>21</v>
      </c>
      <c r="AP33">
        <v>0</v>
      </c>
      <c r="AQ33" t="s">
        <v>407</v>
      </c>
      <c r="AR33" t="s">
        <v>408</v>
      </c>
      <c r="AS33">
        <v>-4.2</v>
      </c>
      <c r="AT33" t="s">
        <v>409</v>
      </c>
      <c r="AU33">
        <v>7.4</v>
      </c>
      <c r="AV33" t="s">
        <v>1211</v>
      </c>
    </row>
    <row r="34" spans="1:48" x14ac:dyDescent="0.35">
      <c r="A34" t="s">
        <v>50</v>
      </c>
      <c r="B34" t="s">
        <v>47</v>
      </c>
      <c r="E34" t="s">
        <v>410</v>
      </c>
      <c r="F34" t="s">
        <v>411</v>
      </c>
      <c r="G34" t="s">
        <v>52</v>
      </c>
      <c r="H34">
        <v>1</v>
      </c>
      <c r="I34" t="s">
        <v>412</v>
      </c>
      <c r="J34" t="s">
        <v>54</v>
      </c>
      <c r="K34" t="s">
        <v>411</v>
      </c>
      <c r="L34" t="s">
        <v>278</v>
      </c>
      <c r="M34" t="s">
        <v>411</v>
      </c>
      <c r="N34" t="s">
        <v>180</v>
      </c>
      <c r="O34" t="s">
        <v>251</v>
      </c>
      <c r="P34" t="s">
        <v>59</v>
      </c>
      <c r="Q34" t="s">
        <v>60</v>
      </c>
      <c r="R34">
        <v>21</v>
      </c>
      <c r="S34">
        <v>31</v>
      </c>
      <c r="T34">
        <v>48</v>
      </c>
      <c r="U34" t="s">
        <v>413</v>
      </c>
      <c r="V34" t="s">
        <v>62</v>
      </c>
      <c r="W34">
        <v>48</v>
      </c>
      <c r="X34">
        <v>26</v>
      </c>
      <c r="Y34">
        <v>0</v>
      </c>
      <c r="Z34" t="s">
        <v>414</v>
      </c>
      <c r="AA34" t="s">
        <v>415</v>
      </c>
      <c r="AB34" t="s">
        <v>760</v>
      </c>
      <c r="AC34" t="s">
        <v>180</v>
      </c>
      <c r="AD34">
        <v>1010</v>
      </c>
      <c r="AE34" t="s">
        <v>416</v>
      </c>
      <c r="AF34">
        <v>7</v>
      </c>
      <c r="AG34" t="s">
        <v>417</v>
      </c>
      <c r="AH34">
        <v>1.03</v>
      </c>
      <c r="AI34">
        <v>1.03</v>
      </c>
      <c r="AJ34">
        <v>0</v>
      </c>
      <c r="AK34">
        <v>32</v>
      </c>
      <c r="AL34">
        <v>0</v>
      </c>
      <c r="AM34" t="s">
        <v>418</v>
      </c>
      <c r="AN34">
        <v>0</v>
      </c>
      <c r="AO34">
        <v>32</v>
      </c>
      <c r="AP34">
        <v>0</v>
      </c>
      <c r="AQ34" t="s">
        <v>418</v>
      </c>
      <c r="AR34" t="s">
        <v>419</v>
      </c>
      <c r="AS34">
        <v>-4.2</v>
      </c>
      <c r="AT34" t="s">
        <v>409</v>
      </c>
      <c r="AU34">
        <v>4.5999999999999996</v>
      </c>
      <c r="AV34" t="s">
        <v>1215</v>
      </c>
    </row>
    <row r="35" spans="1:48" x14ac:dyDescent="0.35">
      <c r="A35" t="s">
        <v>50</v>
      </c>
      <c r="B35" t="s">
        <v>47</v>
      </c>
      <c r="E35" t="s">
        <v>420</v>
      </c>
      <c r="F35" t="s">
        <v>421</v>
      </c>
      <c r="G35" t="s">
        <v>52</v>
      </c>
      <c r="H35">
        <v>1</v>
      </c>
      <c r="I35" t="s">
        <v>422</v>
      </c>
      <c r="J35" t="s">
        <v>54</v>
      </c>
      <c r="K35" t="s">
        <v>421</v>
      </c>
      <c r="L35" t="s">
        <v>278</v>
      </c>
      <c r="M35" t="s">
        <v>421</v>
      </c>
      <c r="N35" t="s">
        <v>180</v>
      </c>
      <c r="O35" t="s">
        <v>251</v>
      </c>
      <c r="P35" t="s">
        <v>423</v>
      </c>
      <c r="Q35" t="s">
        <v>147</v>
      </c>
      <c r="R35">
        <v>6</v>
      </c>
      <c r="S35">
        <v>47</v>
      </c>
      <c r="T35">
        <v>0</v>
      </c>
      <c r="U35" t="s">
        <v>424</v>
      </c>
      <c r="V35" t="s">
        <v>282</v>
      </c>
      <c r="W35">
        <v>20</v>
      </c>
      <c r="X35">
        <v>44</v>
      </c>
      <c r="Y35">
        <v>0</v>
      </c>
      <c r="Z35" t="s">
        <v>425</v>
      </c>
      <c r="AA35" t="s">
        <v>426</v>
      </c>
      <c r="AB35" t="s">
        <v>673</v>
      </c>
      <c r="AC35" t="s">
        <v>180</v>
      </c>
      <c r="AD35">
        <v>2300</v>
      </c>
      <c r="AE35" t="s">
        <v>427</v>
      </c>
      <c r="AF35">
        <v>25</v>
      </c>
      <c r="AG35" t="s">
        <v>398</v>
      </c>
      <c r="AH35">
        <v>1.23</v>
      </c>
      <c r="AI35">
        <v>1.23</v>
      </c>
      <c r="AJ35">
        <v>0</v>
      </c>
      <c r="AK35">
        <v>38</v>
      </c>
      <c r="AL35">
        <v>0</v>
      </c>
      <c r="AM35" t="s">
        <v>428</v>
      </c>
      <c r="AN35">
        <v>0</v>
      </c>
      <c r="AO35">
        <v>38</v>
      </c>
      <c r="AP35">
        <v>0</v>
      </c>
      <c r="AQ35" t="s">
        <v>428</v>
      </c>
      <c r="AR35" t="s">
        <v>429</v>
      </c>
      <c r="AS35">
        <v>-4.2</v>
      </c>
      <c r="AT35" t="s">
        <v>409</v>
      </c>
      <c r="AU35">
        <v>4.5</v>
      </c>
      <c r="AV35" t="s">
        <v>1216</v>
      </c>
    </row>
    <row r="36" spans="1:48" x14ac:dyDescent="0.35">
      <c r="A36" t="s">
        <v>50</v>
      </c>
      <c r="B36" t="s">
        <v>47</v>
      </c>
      <c r="E36" t="s">
        <v>430</v>
      </c>
      <c r="F36" t="s">
        <v>761</v>
      </c>
      <c r="G36" t="s">
        <v>52</v>
      </c>
      <c r="H36">
        <v>1</v>
      </c>
      <c r="I36" t="s">
        <v>431</v>
      </c>
      <c r="J36" t="s">
        <v>54</v>
      </c>
      <c r="K36" t="s">
        <v>761</v>
      </c>
      <c r="L36" t="s">
        <v>278</v>
      </c>
      <c r="M36" t="s">
        <v>432</v>
      </c>
      <c r="N36" t="s">
        <v>180</v>
      </c>
      <c r="O36" t="s">
        <v>433</v>
      </c>
      <c r="P36" t="s">
        <v>146</v>
      </c>
      <c r="Q36" t="s">
        <v>147</v>
      </c>
      <c r="R36">
        <v>5</v>
      </c>
      <c r="S36">
        <v>35</v>
      </c>
      <c r="T36">
        <v>17.3</v>
      </c>
      <c r="U36" t="s">
        <v>434</v>
      </c>
      <c r="V36" t="s">
        <v>282</v>
      </c>
      <c r="W36">
        <v>5</v>
      </c>
      <c r="X36">
        <v>23</v>
      </c>
      <c r="Y36">
        <v>28</v>
      </c>
      <c r="Z36" t="s">
        <v>435</v>
      </c>
      <c r="AA36" t="s">
        <v>436</v>
      </c>
      <c r="AB36" t="s">
        <v>762</v>
      </c>
      <c r="AC36" t="s">
        <v>180</v>
      </c>
      <c r="AD36">
        <v>1344</v>
      </c>
      <c r="AE36" t="s">
        <v>437</v>
      </c>
      <c r="AF36">
        <v>24</v>
      </c>
      <c r="AG36" t="s">
        <v>438</v>
      </c>
      <c r="AH36">
        <v>2.1</v>
      </c>
      <c r="AI36">
        <v>1.94</v>
      </c>
      <c r="AJ36">
        <v>1</v>
      </c>
      <c r="AK36">
        <v>5</v>
      </c>
      <c r="AL36">
        <v>0</v>
      </c>
      <c r="AM36" t="s">
        <v>439</v>
      </c>
      <c r="AN36">
        <v>1</v>
      </c>
      <c r="AO36">
        <v>0</v>
      </c>
      <c r="AP36">
        <v>0</v>
      </c>
      <c r="AQ36" t="s">
        <v>218</v>
      </c>
      <c r="AR36" t="s">
        <v>440</v>
      </c>
      <c r="AS36">
        <v>-4.0999999999999996</v>
      </c>
      <c r="AT36" t="s">
        <v>441</v>
      </c>
      <c r="AU36">
        <v>4</v>
      </c>
      <c r="AV36" t="s">
        <v>1217</v>
      </c>
    </row>
    <row r="37" spans="1:48" x14ac:dyDescent="0.35">
      <c r="A37" t="s">
        <v>50</v>
      </c>
      <c r="B37" t="s">
        <v>47</v>
      </c>
      <c r="E37" t="s">
        <v>442</v>
      </c>
      <c r="F37" t="s">
        <v>763</v>
      </c>
      <c r="G37" t="s">
        <v>52</v>
      </c>
      <c r="H37">
        <v>1</v>
      </c>
      <c r="I37" t="s">
        <v>443</v>
      </c>
      <c r="J37" t="s">
        <v>54</v>
      </c>
      <c r="K37" t="s">
        <v>763</v>
      </c>
      <c r="L37" t="s">
        <v>278</v>
      </c>
      <c r="M37" t="s">
        <v>444</v>
      </c>
      <c r="N37" t="s">
        <v>180</v>
      </c>
      <c r="O37" t="s">
        <v>251</v>
      </c>
      <c r="P37" t="s">
        <v>252</v>
      </c>
      <c r="Q37" t="s">
        <v>147</v>
      </c>
      <c r="R37">
        <v>3</v>
      </c>
      <c r="S37">
        <v>47</v>
      </c>
      <c r="T37">
        <v>24</v>
      </c>
      <c r="U37" t="s">
        <v>445</v>
      </c>
      <c r="V37" t="s">
        <v>62</v>
      </c>
      <c r="W37">
        <v>24</v>
      </c>
      <c r="X37">
        <v>7</v>
      </c>
      <c r="Y37">
        <v>0</v>
      </c>
      <c r="Z37" t="s">
        <v>446</v>
      </c>
      <c r="AA37" t="s">
        <v>447</v>
      </c>
      <c r="AB37" t="s">
        <v>764</v>
      </c>
      <c r="AC37" t="s">
        <v>180</v>
      </c>
      <c r="AD37">
        <v>444</v>
      </c>
      <c r="AE37" t="s">
        <v>448</v>
      </c>
      <c r="AF37">
        <v>17.5</v>
      </c>
      <c r="AG37" t="s">
        <v>449</v>
      </c>
      <c r="AH37">
        <v>3.67</v>
      </c>
      <c r="AI37">
        <v>3.67</v>
      </c>
      <c r="AJ37">
        <v>1</v>
      </c>
      <c r="AK37">
        <v>50</v>
      </c>
      <c r="AL37">
        <v>0</v>
      </c>
      <c r="AM37" t="s">
        <v>450</v>
      </c>
      <c r="AN37">
        <v>1</v>
      </c>
      <c r="AO37">
        <v>50</v>
      </c>
      <c r="AP37">
        <v>0</v>
      </c>
      <c r="AQ37" t="s">
        <v>450</v>
      </c>
      <c r="AR37" t="s">
        <v>451</v>
      </c>
      <c r="AS37">
        <v>-1.6</v>
      </c>
      <c r="AT37" t="s">
        <v>452</v>
      </c>
      <c r="AU37">
        <v>1.6</v>
      </c>
      <c r="AV37" t="s">
        <v>1218</v>
      </c>
    </row>
    <row r="38" spans="1:48" x14ac:dyDescent="0.35">
      <c r="A38" t="s">
        <v>50</v>
      </c>
      <c r="B38" t="s">
        <v>47</v>
      </c>
      <c r="E38" t="s">
        <v>453</v>
      </c>
      <c r="F38" t="s">
        <v>454</v>
      </c>
      <c r="G38" t="s">
        <v>70</v>
      </c>
      <c r="H38">
        <v>1</v>
      </c>
      <c r="I38" t="s">
        <v>455</v>
      </c>
      <c r="J38" t="s">
        <v>54</v>
      </c>
      <c r="K38" t="s">
        <v>454</v>
      </c>
      <c r="L38" t="s">
        <v>278</v>
      </c>
      <c r="M38" t="s">
        <v>454</v>
      </c>
      <c r="N38" t="s">
        <v>180</v>
      </c>
      <c r="O38" t="s">
        <v>251</v>
      </c>
      <c r="P38" t="s">
        <v>456</v>
      </c>
      <c r="Q38" t="s">
        <v>147</v>
      </c>
      <c r="R38">
        <v>7</v>
      </c>
      <c r="S38">
        <v>41</v>
      </c>
      <c r="T38">
        <v>46</v>
      </c>
      <c r="U38" t="s">
        <v>457</v>
      </c>
      <c r="V38" t="s">
        <v>282</v>
      </c>
      <c r="W38">
        <v>14</v>
      </c>
      <c r="X38">
        <v>49</v>
      </c>
      <c r="Y38">
        <v>0</v>
      </c>
      <c r="Z38" t="s">
        <v>458</v>
      </c>
      <c r="AA38" t="s">
        <v>459</v>
      </c>
      <c r="AB38" t="s">
        <v>765</v>
      </c>
      <c r="AC38" t="s">
        <v>180</v>
      </c>
      <c r="AD38">
        <v>4900</v>
      </c>
      <c r="AE38" t="s">
        <v>460</v>
      </c>
      <c r="AF38">
        <v>30</v>
      </c>
      <c r="AG38" t="s">
        <v>186</v>
      </c>
      <c r="AH38">
        <v>0.87</v>
      </c>
      <c r="AI38">
        <v>0.87</v>
      </c>
      <c r="AJ38">
        <v>0</v>
      </c>
      <c r="AK38">
        <v>27</v>
      </c>
      <c r="AL38">
        <v>0</v>
      </c>
      <c r="AM38" t="s">
        <v>461</v>
      </c>
      <c r="AN38">
        <v>0</v>
      </c>
      <c r="AO38">
        <v>27</v>
      </c>
      <c r="AP38">
        <v>0</v>
      </c>
      <c r="AQ38" t="s">
        <v>461</v>
      </c>
      <c r="AR38" t="s">
        <v>462</v>
      </c>
      <c r="AS38">
        <v>-6.1</v>
      </c>
      <c r="AT38" t="s">
        <v>463</v>
      </c>
      <c r="AU38">
        <v>6</v>
      </c>
      <c r="AV38" t="s">
        <v>1208</v>
      </c>
    </row>
    <row r="39" spans="1:48" x14ac:dyDescent="0.35">
      <c r="A39" t="s">
        <v>50</v>
      </c>
      <c r="B39" t="s">
        <v>47</v>
      </c>
      <c r="E39" t="s">
        <v>464</v>
      </c>
      <c r="F39" t="s">
        <v>766</v>
      </c>
      <c r="G39" t="s">
        <v>305</v>
      </c>
      <c r="H39">
        <v>1</v>
      </c>
      <c r="I39" t="s">
        <v>465</v>
      </c>
      <c r="J39" t="s">
        <v>54</v>
      </c>
      <c r="K39" t="s">
        <v>766</v>
      </c>
      <c r="L39" t="s">
        <v>278</v>
      </c>
      <c r="M39" t="s">
        <v>466</v>
      </c>
      <c r="N39" t="s">
        <v>180</v>
      </c>
      <c r="O39" t="s">
        <v>356</v>
      </c>
      <c r="P39" t="s">
        <v>267</v>
      </c>
      <c r="Q39" t="s">
        <v>60</v>
      </c>
      <c r="R39">
        <v>18</v>
      </c>
      <c r="S39">
        <v>53</v>
      </c>
      <c r="T39">
        <v>35</v>
      </c>
      <c r="U39" t="s">
        <v>467</v>
      </c>
      <c r="V39" t="s">
        <v>62</v>
      </c>
      <c r="W39">
        <v>33</v>
      </c>
      <c r="X39">
        <v>2</v>
      </c>
      <c r="Y39">
        <v>0</v>
      </c>
      <c r="Z39" t="s">
        <v>468</v>
      </c>
      <c r="AA39" t="s">
        <v>469</v>
      </c>
      <c r="AB39" t="s">
        <v>674</v>
      </c>
      <c r="AC39" t="s">
        <v>180</v>
      </c>
      <c r="AD39">
        <v>2300</v>
      </c>
      <c r="AE39" t="s">
        <v>427</v>
      </c>
      <c r="AF39">
        <v>1.3</v>
      </c>
      <c r="AG39" t="s">
        <v>470</v>
      </c>
      <c r="AH39">
        <v>0.05</v>
      </c>
      <c r="AI39">
        <v>0.04</v>
      </c>
      <c r="AJ39">
        <v>0</v>
      </c>
      <c r="AK39">
        <v>1</v>
      </c>
      <c r="AL39">
        <v>24</v>
      </c>
      <c r="AM39" t="s">
        <v>471</v>
      </c>
      <c r="AN39">
        <v>0</v>
      </c>
      <c r="AO39">
        <v>1</v>
      </c>
      <c r="AP39">
        <v>12</v>
      </c>
      <c r="AQ39" t="s">
        <v>472</v>
      </c>
      <c r="AR39" t="s">
        <v>473</v>
      </c>
      <c r="AS39">
        <v>0.7</v>
      </c>
      <c r="AT39" t="s">
        <v>474</v>
      </c>
      <c r="AU39">
        <v>8.8000000000000007</v>
      </c>
      <c r="AV39" t="s">
        <v>1219</v>
      </c>
    </row>
    <row r="40" spans="1:48" x14ac:dyDescent="0.35">
      <c r="A40" t="s">
        <v>50</v>
      </c>
      <c r="B40" t="s">
        <v>47</v>
      </c>
      <c r="E40" t="s">
        <v>475</v>
      </c>
      <c r="F40" t="s">
        <v>476</v>
      </c>
      <c r="G40" t="s">
        <v>70</v>
      </c>
      <c r="H40">
        <v>1</v>
      </c>
      <c r="I40" t="s">
        <v>477</v>
      </c>
      <c r="J40" t="s">
        <v>54</v>
      </c>
      <c r="K40" t="s">
        <v>476</v>
      </c>
      <c r="L40" t="s">
        <v>278</v>
      </c>
      <c r="M40" t="s">
        <v>478</v>
      </c>
      <c r="N40" t="s">
        <v>180</v>
      </c>
      <c r="O40" t="s">
        <v>251</v>
      </c>
      <c r="P40" t="s">
        <v>479</v>
      </c>
      <c r="Q40" t="s">
        <v>60</v>
      </c>
      <c r="R40">
        <v>17</v>
      </c>
      <c r="S40">
        <v>40</v>
      </c>
      <c r="T40">
        <v>12</v>
      </c>
      <c r="U40" t="s">
        <v>480</v>
      </c>
      <c r="V40" t="s">
        <v>282</v>
      </c>
      <c r="W40">
        <v>32</v>
      </c>
      <c r="X40">
        <v>13</v>
      </c>
      <c r="Y40">
        <v>0</v>
      </c>
      <c r="Z40" t="s">
        <v>481</v>
      </c>
      <c r="AA40" t="s">
        <v>482</v>
      </c>
      <c r="AB40" t="s">
        <v>767</v>
      </c>
      <c r="AC40" t="s">
        <v>180</v>
      </c>
      <c r="AD40">
        <v>1600</v>
      </c>
      <c r="AE40" t="s">
        <v>483</v>
      </c>
      <c r="AF40">
        <v>20</v>
      </c>
      <c r="AG40" t="s">
        <v>286</v>
      </c>
      <c r="AH40">
        <v>0.81</v>
      </c>
      <c r="AI40">
        <v>0.81</v>
      </c>
      <c r="AJ40">
        <v>0</v>
      </c>
      <c r="AK40">
        <v>25</v>
      </c>
      <c r="AL40">
        <v>0</v>
      </c>
      <c r="AM40" t="s">
        <v>484</v>
      </c>
      <c r="AN40">
        <v>0</v>
      </c>
      <c r="AO40">
        <v>25</v>
      </c>
      <c r="AP40">
        <v>0</v>
      </c>
      <c r="AQ40" t="s">
        <v>484</v>
      </c>
      <c r="AR40" t="s">
        <v>485</v>
      </c>
      <c r="AS40">
        <v>-5.6</v>
      </c>
      <c r="AT40" t="s">
        <v>486</v>
      </c>
      <c r="AU40">
        <v>4.2</v>
      </c>
      <c r="AV40" t="s">
        <v>1220</v>
      </c>
    </row>
    <row r="41" spans="1:48" x14ac:dyDescent="0.35">
      <c r="A41" t="s">
        <v>50</v>
      </c>
      <c r="B41" t="s">
        <v>47</v>
      </c>
      <c r="E41" t="s">
        <v>487</v>
      </c>
      <c r="F41" t="s">
        <v>488</v>
      </c>
      <c r="G41" t="s">
        <v>70</v>
      </c>
      <c r="H41">
        <v>1</v>
      </c>
      <c r="I41" t="s">
        <v>489</v>
      </c>
      <c r="J41" t="s">
        <v>54</v>
      </c>
      <c r="K41" t="s">
        <v>768</v>
      </c>
      <c r="L41" t="s">
        <v>278</v>
      </c>
      <c r="M41" t="s">
        <v>490</v>
      </c>
      <c r="N41" t="s">
        <v>180</v>
      </c>
      <c r="O41" t="s">
        <v>321</v>
      </c>
      <c r="P41" t="s">
        <v>322</v>
      </c>
      <c r="Q41" t="s">
        <v>60</v>
      </c>
      <c r="R41">
        <v>18</v>
      </c>
      <c r="S41">
        <v>3</v>
      </c>
      <c r="T41">
        <v>37</v>
      </c>
      <c r="U41" t="s">
        <v>491</v>
      </c>
      <c r="V41" t="s">
        <v>282</v>
      </c>
      <c r="W41">
        <v>24</v>
      </c>
      <c r="X41">
        <v>23</v>
      </c>
      <c r="Y41">
        <v>12</v>
      </c>
      <c r="Z41" t="s">
        <v>492</v>
      </c>
      <c r="AA41" t="s">
        <v>493</v>
      </c>
      <c r="AB41" t="s">
        <v>675</v>
      </c>
      <c r="AC41" t="s">
        <v>180</v>
      </c>
      <c r="AD41">
        <v>4100</v>
      </c>
      <c r="AE41" t="s">
        <v>494</v>
      </c>
      <c r="AF41">
        <v>110</v>
      </c>
      <c r="AG41" t="s">
        <v>495</v>
      </c>
      <c r="AH41">
        <v>2.9</v>
      </c>
      <c r="AI41">
        <v>1.29</v>
      </c>
      <c r="AJ41">
        <v>1</v>
      </c>
      <c r="AK41">
        <v>30</v>
      </c>
      <c r="AL41">
        <v>0</v>
      </c>
      <c r="AM41" t="s">
        <v>496</v>
      </c>
      <c r="AN41">
        <v>0</v>
      </c>
      <c r="AO41">
        <v>40</v>
      </c>
      <c r="AP41">
        <v>0</v>
      </c>
      <c r="AQ41" t="s">
        <v>188</v>
      </c>
      <c r="AR41" t="s">
        <v>497</v>
      </c>
      <c r="AS41">
        <v>-6</v>
      </c>
      <c r="AT41" t="s">
        <v>498</v>
      </c>
      <c r="AU41">
        <v>4.5999999999999996</v>
      </c>
      <c r="AV41" t="s">
        <v>1215</v>
      </c>
    </row>
    <row r="42" spans="1:48" x14ac:dyDescent="0.35">
      <c r="A42" t="s">
        <v>50</v>
      </c>
      <c r="B42" t="s">
        <v>47</v>
      </c>
      <c r="E42" t="s">
        <v>499</v>
      </c>
      <c r="F42" t="s">
        <v>500</v>
      </c>
      <c r="G42" t="s">
        <v>305</v>
      </c>
      <c r="H42">
        <v>1</v>
      </c>
      <c r="I42" t="s">
        <v>501</v>
      </c>
      <c r="J42" t="s">
        <v>54</v>
      </c>
      <c r="K42" t="s">
        <v>500</v>
      </c>
      <c r="L42" t="s">
        <v>278</v>
      </c>
      <c r="M42" t="s">
        <v>502</v>
      </c>
      <c r="N42" t="s">
        <v>180</v>
      </c>
      <c r="O42" t="s">
        <v>369</v>
      </c>
      <c r="P42" t="s">
        <v>503</v>
      </c>
      <c r="Q42" t="s">
        <v>121</v>
      </c>
      <c r="R42">
        <v>9</v>
      </c>
      <c r="S42">
        <v>55</v>
      </c>
      <c r="T42">
        <v>33</v>
      </c>
      <c r="U42" t="s">
        <v>504</v>
      </c>
      <c r="V42" t="s">
        <v>62</v>
      </c>
      <c r="W42">
        <v>69</v>
      </c>
      <c r="X42">
        <v>4</v>
      </c>
      <c r="Y42">
        <v>0</v>
      </c>
      <c r="Z42" t="s">
        <v>505</v>
      </c>
      <c r="AA42" t="s">
        <v>506</v>
      </c>
      <c r="AB42" t="s">
        <v>676</v>
      </c>
      <c r="AC42" t="s">
        <v>180</v>
      </c>
      <c r="AD42">
        <v>11700000</v>
      </c>
      <c r="AE42" t="s">
        <v>507</v>
      </c>
      <c r="AF42">
        <v>90000</v>
      </c>
      <c r="AG42" t="s">
        <v>508</v>
      </c>
      <c r="AH42">
        <v>0.88</v>
      </c>
      <c r="AI42">
        <v>0.42</v>
      </c>
      <c r="AJ42">
        <v>0</v>
      </c>
      <c r="AK42">
        <v>26</v>
      </c>
      <c r="AL42">
        <v>0</v>
      </c>
      <c r="AM42" t="s">
        <v>509</v>
      </c>
      <c r="AN42">
        <v>0</v>
      </c>
      <c r="AO42">
        <v>12</v>
      </c>
      <c r="AP42">
        <v>30</v>
      </c>
      <c r="AQ42" t="s">
        <v>510</v>
      </c>
      <c r="AR42" t="s">
        <v>511</v>
      </c>
      <c r="AS42">
        <v>-20.8</v>
      </c>
      <c r="AT42" t="s">
        <v>512</v>
      </c>
      <c r="AU42">
        <v>6.94</v>
      </c>
      <c r="AV42" t="s">
        <v>1221</v>
      </c>
    </row>
    <row r="43" spans="1:48" x14ac:dyDescent="0.35">
      <c r="A43" t="s">
        <v>50</v>
      </c>
      <c r="B43" t="s">
        <v>47</v>
      </c>
      <c r="E43" t="s">
        <v>513</v>
      </c>
      <c r="F43" t="s">
        <v>514</v>
      </c>
      <c r="G43" t="s">
        <v>305</v>
      </c>
      <c r="H43">
        <v>1</v>
      </c>
      <c r="I43" t="s">
        <v>515</v>
      </c>
      <c r="J43" t="s">
        <v>54</v>
      </c>
      <c r="K43" t="s">
        <v>514</v>
      </c>
      <c r="L43" t="s">
        <v>278</v>
      </c>
      <c r="M43" t="s">
        <v>516</v>
      </c>
      <c r="N43" t="s">
        <v>180</v>
      </c>
      <c r="O43" t="s">
        <v>517</v>
      </c>
      <c r="P43" t="s">
        <v>503</v>
      </c>
      <c r="Q43" t="s">
        <v>121</v>
      </c>
      <c r="R43">
        <v>9</v>
      </c>
      <c r="S43">
        <v>55</v>
      </c>
      <c r="T43">
        <v>53</v>
      </c>
      <c r="U43" t="s">
        <v>518</v>
      </c>
      <c r="V43" t="s">
        <v>62</v>
      </c>
      <c r="W43">
        <v>69</v>
      </c>
      <c r="X43">
        <v>41</v>
      </c>
      <c r="Y43">
        <v>0</v>
      </c>
      <c r="Z43" t="s">
        <v>519</v>
      </c>
      <c r="AA43" t="s">
        <v>520</v>
      </c>
      <c r="AB43" t="s">
        <v>677</v>
      </c>
      <c r="AC43" t="s">
        <v>180</v>
      </c>
      <c r="AD43">
        <v>12000000</v>
      </c>
      <c r="AE43" t="s">
        <v>521</v>
      </c>
      <c r="AF43">
        <v>37000</v>
      </c>
      <c r="AG43" t="s">
        <v>522</v>
      </c>
      <c r="AH43">
        <v>0.37</v>
      </c>
      <c r="AI43">
        <v>0.15</v>
      </c>
      <c r="AJ43">
        <v>0</v>
      </c>
      <c r="AK43">
        <v>11</v>
      </c>
      <c r="AL43">
        <v>0</v>
      </c>
      <c r="AM43" t="s">
        <v>523</v>
      </c>
      <c r="AN43">
        <v>0</v>
      </c>
      <c r="AO43">
        <v>4</v>
      </c>
      <c r="AP43">
        <v>30</v>
      </c>
      <c r="AQ43" t="s">
        <v>524</v>
      </c>
      <c r="AR43" t="s">
        <v>525</v>
      </c>
      <c r="AS43">
        <v>-20</v>
      </c>
      <c r="AT43" t="s">
        <v>526</v>
      </c>
      <c r="AU43">
        <v>8.41</v>
      </c>
      <c r="AV43" t="s">
        <v>1222</v>
      </c>
    </row>
    <row r="44" spans="1:48" x14ac:dyDescent="0.35">
      <c r="A44" t="s">
        <v>50</v>
      </c>
      <c r="B44" t="s">
        <v>47</v>
      </c>
      <c r="E44" t="s">
        <v>527</v>
      </c>
      <c r="F44" t="s">
        <v>528</v>
      </c>
      <c r="G44" t="s">
        <v>70</v>
      </c>
      <c r="H44">
        <v>1</v>
      </c>
      <c r="I44" t="s">
        <v>529</v>
      </c>
      <c r="J44" t="s">
        <v>54</v>
      </c>
      <c r="K44" t="s">
        <v>528</v>
      </c>
      <c r="L44" t="s">
        <v>55</v>
      </c>
      <c r="M44" t="s">
        <v>530</v>
      </c>
      <c r="N44" t="s">
        <v>57</v>
      </c>
      <c r="O44" t="s">
        <v>531</v>
      </c>
      <c r="P44" t="s">
        <v>532</v>
      </c>
      <c r="Q44" t="s">
        <v>75</v>
      </c>
      <c r="R44">
        <v>2</v>
      </c>
      <c r="S44">
        <v>19</v>
      </c>
      <c r="T44">
        <v>21</v>
      </c>
      <c r="U44" t="s">
        <v>533</v>
      </c>
      <c r="V44" t="s">
        <v>282</v>
      </c>
      <c r="W44">
        <v>2</v>
      </c>
      <c r="X44">
        <v>58</v>
      </c>
      <c r="Y44">
        <v>40</v>
      </c>
      <c r="Z44" t="s">
        <v>534</v>
      </c>
      <c r="AA44" t="s">
        <v>535</v>
      </c>
      <c r="AB44" t="s">
        <v>678</v>
      </c>
      <c r="AC44" t="s">
        <v>57</v>
      </c>
      <c r="AD44">
        <v>300</v>
      </c>
      <c r="AE44" t="s">
        <v>536</v>
      </c>
      <c r="AF44">
        <v>1E-3</v>
      </c>
      <c r="AG44" t="s">
        <v>537</v>
      </c>
      <c r="AS44">
        <v>-0.6</v>
      </c>
      <c r="AT44" t="s">
        <v>538</v>
      </c>
      <c r="AU44">
        <v>6.53</v>
      </c>
      <c r="AV44" t="s">
        <v>1223</v>
      </c>
    </row>
    <row r="45" spans="1:48" x14ac:dyDescent="0.35">
      <c r="A45" t="s">
        <v>50</v>
      </c>
      <c r="B45" t="s">
        <v>47</v>
      </c>
      <c r="E45" t="s">
        <v>539</v>
      </c>
      <c r="F45" t="s">
        <v>540</v>
      </c>
      <c r="G45" t="s">
        <v>52</v>
      </c>
      <c r="H45">
        <v>1</v>
      </c>
      <c r="I45" t="s">
        <v>541</v>
      </c>
      <c r="J45" t="s">
        <v>54</v>
      </c>
      <c r="K45" t="s">
        <v>540</v>
      </c>
      <c r="L45" t="s">
        <v>55</v>
      </c>
      <c r="M45" t="s">
        <v>542</v>
      </c>
      <c r="N45" t="s">
        <v>57</v>
      </c>
      <c r="O45" t="s">
        <v>543</v>
      </c>
      <c r="P45" t="s">
        <v>503</v>
      </c>
      <c r="Q45" t="s">
        <v>121</v>
      </c>
      <c r="R45">
        <v>13</v>
      </c>
      <c r="S45">
        <v>24</v>
      </c>
      <c r="T45">
        <v>0</v>
      </c>
      <c r="U45" t="s">
        <v>544</v>
      </c>
      <c r="V45" t="s">
        <v>62</v>
      </c>
      <c r="W45">
        <v>54</v>
      </c>
      <c r="X45">
        <v>56</v>
      </c>
      <c r="Y45">
        <v>0</v>
      </c>
      <c r="Z45" t="s">
        <v>545</v>
      </c>
      <c r="AA45" t="s">
        <v>546</v>
      </c>
      <c r="AB45" t="s">
        <v>769</v>
      </c>
      <c r="AC45" t="s">
        <v>57</v>
      </c>
      <c r="AD45">
        <v>83</v>
      </c>
      <c r="AE45" t="s">
        <v>547</v>
      </c>
      <c r="AF45">
        <v>7.0000000000000001E-3</v>
      </c>
      <c r="AG45" t="s">
        <v>548</v>
      </c>
      <c r="AS45">
        <v>2.2000000000000002</v>
      </c>
      <c r="AT45" t="s">
        <v>103</v>
      </c>
      <c r="AU45">
        <v>1.85</v>
      </c>
      <c r="AV45" t="s">
        <v>1224</v>
      </c>
    </row>
    <row r="46" spans="1:48" x14ac:dyDescent="0.35">
      <c r="A46" t="s">
        <v>50</v>
      </c>
      <c r="B46" t="s">
        <v>47</v>
      </c>
      <c r="E46" t="s">
        <v>549</v>
      </c>
      <c r="F46" t="s">
        <v>770</v>
      </c>
      <c r="G46" t="s">
        <v>70</v>
      </c>
      <c r="H46">
        <v>1</v>
      </c>
      <c r="I46" t="s">
        <v>550</v>
      </c>
      <c r="J46" t="s">
        <v>54</v>
      </c>
      <c r="K46" t="s">
        <v>770</v>
      </c>
      <c r="L46" t="s">
        <v>551</v>
      </c>
      <c r="M46" t="s">
        <v>552</v>
      </c>
      <c r="N46" t="s">
        <v>180</v>
      </c>
      <c r="O46" t="s">
        <v>321</v>
      </c>
      <c r="P46" t="s">
        <v>59</v>
      </c>
      <c r="Q46" t="s">
        <v>60</v>
      </c>
      <c r="R46">
        <v>20</v>
      </c>
      <c r="S46">
        <v>58</v>
      </c>
      <c r="T46">
        <v>54</v>
      </c>
      <c r="U46" t="s">
        <v>553</v>
      </c>
      <c r="V46" t="s">
        <v>62</v>
      </c>
      <c r="W46">
        <v>44</v>
      </c>
      <c r="X46">
        <v>20</v>
      </c>
      <c r="Y46">
        <v>0</v>
      </c>
      <c r="Z46" t="s">
        <v>554</v>
      </c>
      <c r="AA46" t="s">
        <v>555</v>
      </c>
      <c r="AB46" t="s">
        <v>771</v>
      </c>
      <c r="AC46" t="s">
        <v>180</v>
      </c>
      <c r="AD46">
        <v>2200</v>
      </c>
      <c r="AE46" t="s">
        <v>556</v>
      </c>
      <c r="AF46">
        <v>100</v>
      </c>
      <c r="AG46" t="s">
        <v>338</v>
      </c>
      <c r="AH46">
        <v>4</v>
      </c>
      <c r="AI46">
        <v>3.5</v>
      </c>
      <c r="AJ46">
        <v>2</v>
      </c>
      <c r="AK46">
        <v>0</v>
      </c>
      <c r="AL46">
        <v>0</v>
      </c>
      <c r="AM46" t="s">
        <v>351</v>
      </c>
      <c r="AN46">
        <v>1</v>
      </c>
      <c r="AO46">
        <v>45</v>
      </c>
      <c r="AP46">
        <v>0</v>
      </c>
      <c r="AQ46" t="s">
        <v>557</v>
      </c>
      <c r="AR46" t="s">
        <v>558</v>
      </c>
      <c r="AS46">
        <v>-6</v>
      </c>
      <c r="AT46" t="s">
        <v>498</v>
      </c>
      <c r="AU46">
        <v>4</v>
      </c>
      <c r="AV46" t="s">
        <v>1217</v>
      </c>
    </row>
    <row r="47" spans="1:48" x14ac:dyDescent="0.35">
      <c r="A47" t="s">
        <v>50</v>
      </c>
      <c r="B47" t="s">
        <v>47</v>
      </c>
      <c r="E47" t="s">
        <v>559</v>
      </c>
      <c r="F47" t="s">
        <v>146</v>
      </c>
      <c r="G47" t="s">
        <v>52</v>
      </c>
      <c r="H47">
        <v>1</v>
      </c>
      <c r="I47" t="s">
        <v>560</v>
      </c>
      <c r="J47" t="s">
        <v>54</v>
      </c>
      <c r="K47" t="s">
        <v>146</v>
      </c>
      <c r="L47" t="s">
        <v>106</v>
      </c>
      <c r="M47" t="s">
        <v>561</v>
      </c>
      <c r="N47" t="s">
        <v>15</v>
      </c>
      <c r="O47" t="s">
        <v>108</v>
      </c>
      <c r="P47" t="s">
        <v>146</v>
      </c>
      <c r="Q47" t="s">
        <v>147</v>
      </c>
      <c r="R47">
        <v>5</v>
      </c>
      <c r="S47">
        <v>30</v>
      </c>
      <c r="T47">
        <v>0</v>
      </c>
      <c r="U47" t="s">
        <v>562</v>
      </c>
      <c r="V47" t="s">
        <v>62</v>
      </c>
      <c r="W47">
        <v>5</v>
      </c>
      <c r="X47">
        <v>0</v>
      </c>
      <c r="Y47">
        <v>0</v>
      </c>
      <c r="Z47" t="s">
        <v>563</v>
      </c>
      <c r="AA47" t="s">
        <v>564</v>
      </c>
      <c r="AB47" t="s">
        <v>679</v>
      </c>
      <c r="AC47" t="s">
        <v>15</v>
      </c>
      <c r="AH47">
        <v>16</v>
      </c>
      <c r="AI47">
        <v>15</v>
      </c>
      <c r="AJ47">
        <v>8</v>
      </c>
      <c r="AK47">
        <v>0</v>
      </c>
      <c r="AL47">
        <v>0</v>
      </c>
      <c r="AM47" t="s">
        <v>565</v>
      </c>
      <c r="AN47">
        <v>7</v>
      </c>
      <c r="AO47">
        <v>30</v>
      </c>
      <c r="AP47">
        <v>0</v>
      </c>
      <c r="AQ47" t="s">
        <v>566</v>
      </c>
      <c r="AR47" t="s">
        <v>567</v>
      </c>
    </row>
    <row r="48" spans="1:48" x14ac:dyDescent="0.35">
      <c r="A48" t="s">
        <v>50</v>
      </c>
      <c r="B48" t="s">
        <v>47</v>
      </c>
      <c r="E48" t="s">
        <v>568</v>
      </c>
      <c r="F48" t="s">
        <v>772</v>
      </c>
      <c r="G48" t="s">
        <v>52</v>
      </c>
      <c r="H48">
        <v>1</v>
      </c>
      <c r="I48" t="s">
        <v>569</v>
      </c>
      <c r="J48" t="s">
        <v>54</v>
      </c>
      <c r="K48" t="s">
        <v>772</v>
      </c>
      <c r="L48" t="s">
        <v>233</v>
      </c>
      <c r="M48" t="s">
        <v>570</v>
      </c>
      <c r="N48" t="s">
        <v>132</v>
      </c>
      <c r="O48" t="s">
        <v>234</v>
      </c>
      <c r="P48" t="s">
        <v>74</v>
      </c>
      <c r="Q48" t="s">
        <v>60</v>
      </c>
      <c r="R48">
        <v>3</v>
      </c>
      <c r="S48">
        <v>4</v>
      </c>
      <c r="T48">
        <v>0</v>
      </c>
      <c r="U48" t="s">
        <v>571</v>
      </c>
      <c r="V48" t="s">
        <v>62</v>
      </c>
      <c r="W48">
        <v>58</v>
      </c>
      <c r="X48">
        <v>0</v>
      </c>
      <c r="Y48">
        <v>0</v>
      </c>
      <c r="Z48" t="s">
        <v>572</v>
      </c>
      <c r="AA48" t="s">
        <v>573</v>
      </c>
      <c r="AB48" t="s">
        <v>773</v>
      </c>
      <c r="AC48" t="s">
        <v>132</v>
      </c>
      <c r="AH48">
        <v>180</v>
      </c>
      <c r="AI48">
        <v>90</v>
      </c>
      <c r="AJ48">
        <v>90</v>
      </c>
      <c r="AK48">
        <v>0</v>
      </c>
      <c r="AL48">
        <v>0</v>
      </c>
      <c r="AM48" t="s">
        <v>238</v>
      </c>
      <c r="AN48">
        <v>45</v>
      </c>
      <c r="AO48">
        <v>0</v>
      </c>
      <c r="AP48">
        <v>0</v>
      </c>
      <c r="AQ48" t="s">
        <v>239</v>
      </c>
      <c r="AR48" t="s">
        <v>240</v>
      </c>
    </row>
    <row r="49" spans="1:48" x14ac:dyDescent="0.35">
      <c r="A49" t="s">
        <v>50</v>
      </c>
      <c r="B49" t="s">
        <v>47</v>
      </c>
      <c r="E49" t="s">
        <v>574</v>
      </c>
      <c r="F49" t="s">
        <v>774</v>
      </c>
      <c r="G49" t="s">
        <v>52</v>
      </c>
      <c r="H49">
        <v>1</v>
      </c>
      <c r="I49" t="s">
        <v>575</v>
      </c>
      <c r="J49" t="s">
        <v>54</v>
      </c>
      <c r="K49" t="s">
        <v>774</v>
      </c>
      <c r="L49" t="s">
        <v>106</v>
      </c>
      <c r="M49" t="s">
        <v>570</v>
      </c>
      <c r="N49" t="s">
        <v>15</v>
      </c>
      <c r="O49" t="s">
        <v>108</v>
      </c>
      <c r="P49" t="s">
        <v>74</v>
      </c>
      <c r="Q49" t="s">
        <v>75</v>
      </c>
      <c r="R49">
        <v>3</v>
      </c>
      <c r="S49">
        <v>10</v>
      </c>
      <c r="T49">
        <v>0</v>
      </c>
      <c r="U49" t="s">
        <v>576</v>
      </c>
      <c r="V49" t="s">
        <v>62</v>
      </c>
      <c r="W49">
        <v>45</v>
      </c>
      <c r="X49">
        <v>0</v>
      </c>
      <c r="Y49">
        <v>0</v>
      </c>
      <c r="Z49" t="s">
        <v>577</v>
      </c>
      <c r="AA49" t="s">
        <v>578</v>
      </c>
      <c r="AB49" t="s">
        <v>680</v>
      </c>
      <c r="AC49" t="s">
        <v>15</v>
      </c>
      <c r="AH49">
        <v>15.48</v>
      </c>
      <c r="AI49">
        <v>11.61</v>
      </c>
      <c r="AJ49">
        <v>8</v>
      </c>
      <c r="AK49">
        <v>0</v>
      </c>
      <c r="AL49">
        <v>0</v>
      </c>
      <c r="AM49" t="s">
        <v>565</v>
      </c>
      <c r="AN49">
        <v>6</v>
      </c>
      <c r="AO49">
        <v>0</v>
      </c>
      <c r="AP49">
        <v>0</v>
      </c>
      <c r="AQ49" t="s">
        <v>205</v>
      </c>
      <c r="AR49" t="s">
        <v>579</v>
      </c>
    </row>
    <row r="50" spans="1:48" x14ac:dyDescent="0.35">
      <c r="A50" t="s">
        <v>50</v>
      </c>
      <c r="B50" t="s">
        <v>47</v>
      </c>
      <c r="E50" t="s">
        <v>580</v>
      </c>
      <c r="F50" t="s">
        <v>775</v>
      </c>
      <c r="G50" t="s">
        <v>52</v>
      </c>
      <c r="H50">
        <v>1</v>
      </c>
      <c r="I50" t="s">
        <v>581</v>
      </c>
      <c r="J50" t="s">
        <v>54</v>
      </c>
      <c r="K50" t="s">
        <v>775</v>
      </c>
      <c r="L50" t="s">
        <v>55</v>
      </c>
      <c r="M50" t="s">
        <v>582</v>
      </c>
      <c r="N50" t="s">
        <v>57</v>
      </c>
      <c r="O50" t="s">
        <v>583</v>
      </c>
      <c r="P50" t="s">
        <v>584</v>
      </c>
      <c r="Q50" t="s">
        <v>585</v>
      </c>
      <c r="R50">
        <v>2</v>
      </c>
      <c r="S50">
        <v>31</v>
      </c>
      <c r="T50">
        <v>49</v>
      </c>
      <c r="U50" t="s">
        <v>586</v>
      </c>
      <c r="V50" t="s">
        <v>62</v>
      </c>
      <c r="W50">
        <v>89</v>
      </c>
      <c r="X50">
        <v>15</v>
      </c>
      <c r="Y50">
        <v>51</v>
      </c>
      <c r="Z50" t="s">
        <v>587</v>
      </c>
      <c r="AA50" t="s">
        <v>588</v>
      </c>
      <c r="AB50" t="s">
        <v>776</v>
      </c>
      <c r="AC50" t="s">
        <v>57</v>
      </c>
      <c r="AD50">
        <v>433</v>
      </c>
      <c r="AE50" t="s">
        <v>589</v>
      </c>
      <c r="AF50">
        <v>5.0000000000000001E-4</v>
      </c>
      <c r="AG50" t="s">
        <v>590</v>
      </c>
      <c r="AS50">
        <v>-3.6</v>
      </c>
      <c r="AT50" t="s">
        <v>591</v>
      </c>
      <c r="AU50">
        <v>2.02</v>
      </c>
      <c r="AV50" t="s">
        <v>1225</v>
      </c>
    </row>
    <row r="51" spans="1:48" x14ac:dyDescent="0.35">
      <c r="A51" t="s">
        <v>50</v>
      </c>
      <c r="B51" t="s">
        <v>47</v>
      </c>
      <c r="E51" t="s">
        <v>592</v>
      </c>
      <c r="F51" t="s">
        <v>593</v>
      </c>
      <c r="G51" t="s">
        <v>52</v>
      </c>
      <c r="H51">
        <v>1</v>
      </c>
      <c r="I51" t="s">
        <v>594</v>
      </c>
      <c r="J51" t="s">
        <v>54</v>
      </c>
      <c r="K51" t="s">
        <v>593</v>
      </c>
      <c r="L51" t="s">
        <v>55</v>
      </c>
      <c r="M51" t="s">
        <v>595</v>
      </c>
      <c r="N51" t="s">
        <v>57</v>
      </c>
      <c r="O51" t="s">
        <v>596</v>
      </c>
      <c r="P51" t="s">
        <v>423</v>
      </c>
      <c r="Q51" t="s">
        <v>147</v>
      </c>
      <c r="R51">
        <v>6</v>
      </c>
      <c r="S51">
        <v>45</v>
      </c>
      <c r="T51">
        <v>8.9</v>
      </c>
      <c r="U51" t="s">
        <v>597</v>
      </c>
      <c r="V51" t="s">
        <v>282</v>
      </c>
      <c r="W51">
        <v>16</v>
      </c>
      <c r="X51">
        <v>42</v>
      </c>
      <c r="Y51">
        <v>58</v>
      </c>
      <c r="Z51" t="s">
        <v>598</v>
      </c>
      <c r="AA51" t="s">
        <v>599</v>
      </c>
      <c r="AB51" t="s">
        <v>681</v>
      </c>
      <c r="AC51" t="s">
        <v>57</v>
      </c>
      <c r="AD51">
        <v>8.6</v>
      </c>
      <c r="AE51" t="s">
        <v>600</v>
      </c>
      <c r="AF51">
        <v>2.4999999999999999E-7</v>
      </c>
      <c r="AG51" t="s">
        <v>601</v>
      </c>
      <c r="AS51">
        <v>1.42</v>
      </c>
      <c r="AT51" t="s">
        <v>602</v>
      </c>
      <c r="AU51">
        <v>-1.46</v>
      </c>
      <c r="AV51" t="s">
        <v>1226</v>
      </c>
    </row>
    <row r="52" spans="1:48" x14ac:dyDescent="0.35">
      <c r="A52" t="s">
        <v>50</v>
      </c>
      <c r="B52" t="s">
        <v>47</v>
      </c>
      <c r="E52" t="s">
        <v>603</v>
      </c>
      <c r="F52" t="s">
        <v>503</v>
      </c>
      <c r="G52" t="s">
        <v>52</v>
      </c>
      <c r="H52">
        <v>1</v>
      </c>
      <c r="I52" t="s">
        <v>604</v>
      </c>
      <c r="J52" t="s">
        <v>54</v>
      </c>
      <c r="K52" t="s">
        <v>503</v>
      </c>
      <c r="L52" t="s">
        <v>106</v>
      </c>
      <c r="M52" t="s">
        <v>605</v>
      </c>
      <c r="N52" t="s">
        <v>15</v>
      </c>
      <c r="O52" t="s">
        <v>108</v>
      </c>
      <c r="P52" t="s">
        <v>503</v>
      </c>
      <c r="Q52" t="s">
        <v>121</v>
      </c>
      <c r="R52">
        <v>11</v>
      </c>
      <c r="S52">
        <v>0</v>
      </c>
      <c r="T52">
        <v>0</v>
      </c>
      <c r="U52" t="s">
        <v>606</v>
      </c>
      <c r="V52" t="s">
        <v>62</v>
      </c>
      <c r="W52">
        <v>56</v>
      </c>
      <c r="X52">
        <v>0</v>
      </c>
      <c r="Y52">
        <v>0</v>
      </c>
      <c r="Z52" t="s">
        <v>607</v>
      </c>
      <c r="AA52" t="s">
        <v>608</v>
      </c>
      <c r="AB52" t="s">
        <v>682</v>
      </c>
      <c r="AC52" t="s">
        <v>15</v>
      </c>
      <c r="AH52">
        <v>23.23</v>
      </c>
      <c r="AI52">
        <v>15.48</v>
      </c>
      <c r="AJ52">
        <v>12</v>
      </c>
      <c r="AK52">
        <v>0</v>
      </c>
      <c r="AL52">
        <v>0</v>
      </c>
      <c r="AM52" t="s">
        <v>609</v>
      </c>
      <c r="AN52">
        <v>8</v>
      </c>
      <c r="AO52">
        <v>0</v>
      </c>
      <c r="AP52">
        <v>0</v>
      </c>
      <c r="AQ52" t="s">
        <v>565</v>
      </c>
      <c r="AR52" t="s">
        <v>610</v>
      </c>
    </row>
    <row r="53" spans="1:48" x14ac:dyDescent="0.35">
      <c r="A53" t="s">
        <v>46</v>
      </c>
      <c r="B53" t="s">
        <v>804</v>
      </c>
      <c r="C53" t="s">
        <v>805</v>
      </c>
      <c r="D53" t="s">
        <v>806</v>
      </c>
    </row>
    <row r="54" spans="1:48" x14ac:dyDescent="0.35">
      <c r="A54" t="s">
        <v>50</v>
      </c>
      <c r="B54" t="s">
        <v>804</v>
      </c>
      <c r="E54" t="s">
        <v>962</v>
      </c>
      <c r="F54" t="s">
        <v>807</v>
      </c>
      <c r="G54" t="s">
        <v>305</v>
      </c>
      <c r="H54">
        <v>1</v>
      </c>
      <c r="I54" t="s">
        <v>808</v>
      </c>
      <c r="J54" t="s">
        <v>54</v>
      </c>
      <c r="K54" t="s">
        <v>807</v>
      </c>
      <c r="L54" t="s">
        <v>809</v>
      </c>
      <c r="M54">
        <v>1</v>
      </c>
      <c r="N54" t="s">
        <v>810</v>
      </c>
      <c r="O54" t="s">
        <v>811</v>
      </c>
      <c r="Q54" t="s">
        <v>1019</v>
      </c>
      <c r="U54" t="s">
        <v>1020</v>
      </c>
      <c r="Z54" t="s">
        <v>1021</v>
      </c>
      <c r="AA54" t="s">
        <v>1022</v>
      </c>
      <c r="AB54" t="s">
        <v>1023</v>
      </c>
      <c r="AC54" t="s">
        <v>810</v>
      </c>
      <c r="AD54">
        <v>0.39</v>
      </c>
      <c r="AE54" t="s">
        <v>1024</v>
      </c>
      <c r="AF54">
        <v>4879</v>
      </c>
      <c r="AG54" t="s">
        <v>1025</v>
      </c>
      <c r="AR54" t="s">
        <v>1026</v>
      </c>
      <c r="AS54">
        <v>-2</v>
      </c>
      <c r="AT54" t="s">
        <v>1027</v>
      </c>
      <c r="AU54">
        <v>-2.5</v>
      </c>
      <c r="AV54" t="s">
        <v>1227</v>
      </c>
    </row>
    <row r="55" spans="1:48" x14ac:dyDescent="0.35">
      <c r="A55" t="s">
        <v>50</v>
      </c>
      <c r="B55" t="s">
        <v>804</v>
      </c>
      <c r="E55" t="s">
        <v>963</v>
      </c>
      <c r="F55" t="s">
        <v>812</v>
      </c>
      <c r="G55" t="s">
        <v>305</v>
      </c>
      <c r="H55">
        <v>1</v>
      </c>
      <c r="I55" t="s">
        <v>813</v>
      </c>
      <c r="J55" t="s">
        <v>54</v>
      </c>
      <c r="K55" t="s">
        <v>812</v>
      </c>
      <c r="L55" t="s">
        <v>809</v>
      </c>
      <c r="M55">
        <v>2</v>
      </c>
      <c r="N55" t="s">
        <v>810</v>
      </c>
      <c r="O55" t="s">
        <v>811</v>
      </c>
      <c r="Q55" t="s">
        <v>1019</v>
      </c>
      <c r="U55" t="s">
        <v>1020</v>
      </c>
      <c r="Z55" t="s">
        <v>1021</v>
      </c>
      <c r="AA55" t="s">
        <v>1022</v>
      </c>
      <c r="AB55" t="s">
        <v>1028</v>
      </c>
      <c r="AC55" t="s">
        <v>810</v>
      </c>
      <c r="AD55">
        <v>0.72</v>
      </c>
      <c r="AE55" t="s">
        <v>1029</v>
      </c>
      <c r="AF55">
        <v>12104</v>
      </c>
      <c r="AG55" t="s">
        <v>1030</v>
      </c>
      <c r="AR55" t="s">
        <v>1026</v>
      </c>
      <c r="AS55">
        <v>-4.9000000000000004</v>
      </c>
      <c r="AT55" t="s">
        <v>1031</v>
      </c>
      <c r="AU55">
        <v>-4.9000000000000004</v>
      </c>
      <c r="AV55" t="s">
        <v>1031</v>
      </c>
    </row>
    <row r="56" spans="1:48" x14ac:dyDescent="0.35">
      <c r="A56" t="s">
        <v>50</v>
      </c>
      <c r="B56" t="s">
        <v>804</v>
      </c>
      <c r="E56" t="s">
        <v>964</v>
      </c>
      <c r="F56" t="s">
        <v>814</v>
      </c>
      <c r="G56" t="s">
        <v>128</v>
      </c>
      <c r="H56">
        <v>1</v>
      </c>
      <c r="I56" t="s">
        <v>815</v>
      </c>
      <c r="J56" t="s">
        <v>54</v>
      </c>
      <c r="K56" t="s">
        <v>814</v>
      </c>
      <c r="L56" t="s">
        <v>809</v>
      </c>
      <c r="M56">
        <v>3</v>
      </c>
      <c r="N56" t="s">
        <v>810</v>
      </c>
      <c r="O56" t="s">
        <v>811</v>
      </c>
      <c r="Q56" t="s">
        <v>1019</v>
      </c>
      <c r="U56" t="s">
        <v>1020</v>
      </c>
      <c r="Z56" t="s">
        <v>1021</v>
      </c>
      <c r="AA56" t="s">
        <v>1022</v>
      </c>
      <c r="AB56" t="s">
        <v>1032</v>
      </c>
      <c r="AC56" t="s">
        <v>810</v>
      </c>
      <c r="AD56">
        <v>1</v>
      </c>
      <c r="AE56" t="s">
        <v>1033</v>
      </c>
      <c r="AF56">
        <v>12742</v>
      </c>
      <c r="AG56" t="s">
        <v>1034</v>
      </c>
      <c r="AR56" t="s">
        <v>1026</v>
      </c>
    </row>
    <row r="57" spans="1:48" x14ac:dyDescent="0.35">
      <c r="A57" t="s">
        <v>50</v>
      </c>
      <c r="B57" t="s">
        <v>804</v>
      </c>
      <c r="E57" t="s">
        <v>965</v>
      </c>
      <c r="F57" t="s">
        <v>816</v>
      </c>
      <c r="G57" t="s">
        <v>128</v>
      </c>
      <c r="H57">
        <v>1</v>
      </c>
      <c r="I57" t="s">
        <v>817</v>
      </c>
      <c r="J57" t="s">
        <v>54</v>
      </c>
      <c r="K57" t="s">
        <v>816</v>
      </c>
      <c r="L57" t="s">
        <v>809</v>
      </c>
      <c r="M57">
        <v>4</v>
      </c>
      <c r="N57" t="s">
        <v>810</v>
      </c>
      <c r="O57" t="s">
        <v>811</v>
      </c>
      <c r="Q57" t="s">
        <v>196</v>
      </c>
      <c r="U57" t="s">
        <v>1020</v>
      </c>
      <c r="Z57" t="s">
        <v>1021</v>
      </c>
      <c r="AA57" t="s">
        <v>1022</v>
      </c>
      <c r="AB57" t="s">
        <v>1035</v>
      </c>
      <c r="AC57" t="s">
        <v>810</v>
      </c>
      <c r="AD57">
        <v>1.52</v>
      </c>
      <c r="AE57" t="s">
        <v>1036</v>
      </c>
      <c r="AF57">
        <v>6779</v>
      </c>
      <c r="AG57" t="s">
        <v>1037</v>
      </c>
      <c r="AR57" t="s">
        <v>1026</v>
      </c>
      <c r="AS57">
        <v>-2.9</v>
      </c>
      <c r="AT57" t="s">
        <v>1038</v>
      </c>
      <c r="AU57">
        <v>-2.9</v>
      </c>
      <c r="AV57" t="s">
        <v>1038</v>
      </c>
    </row>
    <row r="58" spans="1:48" x14ac:dyDescent="0.35">
      <c r="A58" t="s">
        <v>50</v>
      </c>
      <c r="B58" t="s">
        <v>804</v>
      </c>
      <c r="E58" t="s">
        <v>966</v>
      </c>
      <c r="F58" t="s">
        <v>818</v>
      </c>
      <c r="G58" t="s">
        <v>128</v>
      </c>
      <c r="H58">
        <v>1</v>
      </c>
      <c r="I58" t="s">
        <v>819</v>
      </c>
      <c r="J58" t="s">
        <v>54</v>
      </c>
      <c r="K58" t="s">
        <v>818</v>
      </c>
      <c r="L58" t="s">
        <v>809</v>
      </c>
      <c r="M58">
        <v>5</v>
      </c>
      <c r="N58" t="s">
        <v>810</v>
      </c>
      <c r="O58" t="s">
        <v>820</v>
      </c>
      <c r="Q58" t="s">
        <v>196</v>
      </c>
      <c r="U58" t="s">
        <v>1020</v>
      </c>
      <c r="Z58" t="s">
        <v>1021</v>
      </c>
      <c r="AA58" t="s">
        <v>1022</v>
      </c>
      <c r="AB58" t="s">
        <v>1039</v>
      </c>
      <c r="AC58" t="s">
        <v>810</v>
      </c>
      <c r="AD58">
        <v>5.2</v>
      </c>
      <c r="AE58" t="s">
        <v>1040</v>
      </c>
      <c r="AF58">
        <v>139820</v>
      </c>
      <c r="AG58" t="s">
        <v>1041</v>
      </c>
      <c r="AR58" t="s">
        <v>1026</v>
      </c>
      <c r="AS58">
        <v>-2.9</v>
      </c>
      <c r="AT58" t="s">
        <v>1038</v>
      </c>
      <c r="AU58">
        <v>-2.9</v>
      </c>
      <c r="AV58" t="s">
        <v>1038</v>
      </c>
    </row>
    <row r="59" spans="1:48" x14ac:dyDescent="0.35">
      <c r="A59" t="s">
        <v>50</v>
      </c>
      <c r="B59" t="s">
        <v>804</v>
      </c>
      <c r="E59" t="s">
        <v>967</v>
      </c>
      <c r="F59" t="s">
        <v>821</v>
      </c>
      <c r="G59" t="s">
        <v>128</v>
      </c>
      <c r="H59">
        <v>1</v>
      </c>
      <c r="I59" t="s">
        <v>822</v>
      </c>
      <c r="J59" t="s">
        <v>54</v>
      </c>
      <c r="K59" t="s">
        <v>821</v>
      </c>
      <c r="L59" t="s">
        <v>809</v>
      </c>
      <c r="M59">
        <v>6</v>
      </c>
      <c r="N59" t="s">
        <v>810</v>
      </c>
      <c r="O59" t="s">
        <v>823</v>
      </c>
      <c r="Q59" t="s">
        <v>196</v>
      </c>
      <c r="U59" t="s">
        <v>1020</v>
      </c>
      <c r="Z59" t="s">
        <v>1021</v>
      </c>
      <c r="AA59" t="s">
        <v>1022</v>
      </c>
      <c r="AB59" t="s">
        <v>1042</v>
      </c>
      <c r="AC59" t="s">
        <v>810</v>
      </c>
      <c r="AD59">
        <v>9.58</v>
      </c>
      <c r="AE59" t="s">
        <v>1043</v>
      </c>
      <c r="AF59">
        <v>116460</v>
      </c>
      <c r="AG59" t="s">
        <v>1044</v>
      </c>
      <c r="AR59" t="s">
        <v>1026</v>
      </c>
      <c r="AS59">
        <v>-0.5</v>
      </c>
      <c r="AT59" t="s">
        <v>1045</v>
      </c>
      <c r="AU59">
        <v>-0.5</v>
      </c>
      <c r="AV59" t="s">
        <v>1045</v>
      </c>
    </row>
    <row r="60" spans="1:48" x14ac:dyDescent="0.35">
      <c r="A60" t="s">
        <v>50</v>
      </c>
      <c r="B60" t="s">
        <v>804</v>
      </c>
      <c r="E60" t="s">
        <v>968</v>
      </c>
      <c r="F60" t="s">
        <v>824</v>
      </c>
      <c r="G60" t="s">
        <v>305</v>
      </c>
      <c r="H60">
        <v>1</v>
      </c>
      <c r="I60" t="s">
        <v>825</v>
      </c>
      <c r="J60" t="s">
        <v>54</v>
      </c>
      <c r="K60" t="s">
        <v>824</v>
      </c>
      <c r="L60" t="s">
        <v>809</v>
      </c>
      <c r="M60">
        <v>7</v>
      </c>
      <c r="N60" t="s">
        <v>810</v>
      </c>
      <c r="O60" t="s">
        <v>826</v>
      </c>
      <c r="Q60" t="s">
        <v>196</v>
      </c>
      <c r="U60" t="s">
        <v>1020</v>
      </c>
      <c r="Z60" t="s">
        <v>1021</v>
      </c>
      <c r="AA60" t="s">
        <v>1022</v>
      </c>
      <c r="AB60" t="s">
        <v>1046</v>
      </c>
      <c r="AC60" t="s">
        <v>810</v>
      </c>
      <c r="AD60">
        <v>19.2</v>
      </c>
      <c r="AE60" t="s">
        <v>1047</v>
      </c>
      <c r="AF60">
        <v>50724</v>
      </c>
      <c r="AG60" t="s">
        <v>1048</v>
      </c>
      <c r="AR60" t="s">
        <v>1026</v>
      </c>
      <c r="AS60">
        <v>5.3</v>
      </c>
      <c r="AT60" t="s">
        <v>1049</v>
      </c>
      <c r="AU60">
        <v>5.4</v>
      </c>
      <c r="AV60" t="s">
        <v>1228</v>
      </c>
    </row>
    <row r="61" spans="1:48" x14ac:dyDescent="0.35">
      <c r="A61" t="s">
        <v>50</v>
      </c>
      <c r="B61" t="s">
        <v>804</v>
      </c>
      <c r="E61" t="s">
        <v>969</v>
      </c>
      <c r="F61" t="s">
        <v>827</v>
      </c>
      <c r="G61" t="s">
        <v>305</v>
      </c>
      <c r="H61">
        <v>1</v>
      </c>
      <c r="I61" t="s">
        <v>828</v>
      </c>
      <c r="J61" t="s">
        <v>54</v>
      </c>
      <c r="K61" t="s">
        <v>827</v>
      </c>
      <c r="L61" t="s">
        <v>809</v>
      </c>
      <c r="M61">
        <v>8</v>
      </c>
      <c r="N61" t="s">
        <v>810</v>
      </c>
      <c r="O61" t="s">
        <v>826</v>
      </c>
      <c r="Q61" t="s">
        <v>196</v>
      </c>
      <c r="U61" t="s">
        <v>1020</v>
      </c>
      <c r="Z61" t="s">
        <v>1021</v>
      </c>
      <c r="AA61" t="s">
        <v>1022</v>
      </c>
      <c r="AB61" t="s">
        <v>1050</v>
      </c>
      <c r="AC61" t="s">
        <v>810</v>
      </c>
      <c r="AD61">
        <v>30.06</v>
      </c>
      <c r="AE61" t="s">
        <v>1051</v>
      </c>
      <c r="AF61">
        <v>49244</v>
      </c>
      <c r="AG61" t="s">
        <v>1052</v>
      </c>
      <c r="AR61" t="s">
        <v>1026</v>
      </c>
      <c r="AS61">
        <v>7.7</v>
      </c>
      <c r="AT61" t="s">
        <v>1053</v>
      </c>
      <c r="AU61">
        <v>7.7</v>
      </c>
      <c r="AV61" t="s">
        <v>1053</v>
      </c>
    </row>
    <row r="62" spans="1:48" x14ac:dyDescent="0.35">
      <c r="A62" t="s">
        <v>50</v>
      </c>
      <c r="B62" t="s">
        <v>804</v>
      </c>
      <c r="E62" t="s">
        <v>970</v>
      </c>
      <c r="F62" t="s">
        <v>829</v>
      </c>
      <c r="G62" t="s">
        <v>52</v>
      </c>
      <c r="H62">
        <v>1</v>
      </c>
      <c r="I62" t="s">
        <v>830</v>
      </c>
      <c r="J62" t="s">
        <v>54</v>
      </c>
      <c r="K62" t="s">
        <v>829</v>
      </c>
      <c r="L62" t="s">
        <v>831</v>
      </c>
      <c r="M62">
        <v>1</v>
      </c>
      <c r="N62" t="s">
        <v>810</v>
      </c>
      <c r="O62" t="s">
        <v>831</v>
      </c>
      <c r="Q62" t="s">
        <v>196</v>
      </c>
      <c r="U62" t="s">
        <v>1020</v>
      </c>
      <c r="Z62" t="s">
        <v>1021</v>
      </c>
      <c r="AA62" t="s">
        <v>1022</v>
      </c>
      <c r="AB62" t="s">
        <v>1054</v>
      </c>
      <c r="AC62" t="s">
        <v>810</v>
      </c>
      <c r="AD62">
        <v>2.77</v>
      </c>
      <c r="AE62" t="s">
        <v>1055</v>
      </c>
      <c r="AF62">
        <v>940</v>
      </c>
      <c r="AG62" t="s">
        <v>1056</v>
      </c>
      <c r="AR62" t="s">
        <v>1026</v>
      </c>
      <c r="AS62">
        <v>6.7</v>
      </c>
      <c r="AT62" t="s">
        <v>1057</v>
      </c>
      <c r="AU62">
        <v>6.7</v>
      </c>
      <c r="AV62" t="s">
        <v>1057</v>
      </c>
    </row>
    <row r="63" spans="1:48" x14ac:dyDescent="0.35">
      <c r="A63" t="s">
        <v>50</v>
      </c>
      <c r="B63" t="s">
        <v>804</v>
      </c>
      <c r="E63" t="s">
        <v>971</v>
      </c>
      <c r="F63" t="s">
        <v>832</v>
      </c>
      <c r="G63" t="s">
        <v>70</v>
      </c>
      <c r="H63">
        <v>1</v>
      </c>
      <c r="I63" t="s">
        <v>833</v>
      </c>
      <c r="J63" t="s">
        <v>54</v>
      </c>
      <c r="K63" t="s">
        <v>832</v>
      </c>
      <c r="L63" t="s">
        <v>831</v>
      </c>
      <c r="M63">
        <v>2</v>
      </c>
      <c r="N63" t="s">
        <v>810</v>
      </c>
      <c r="O63" t="s">
        <v>831</v>
      </c>
      <c r="Q63" t="s">
        <v>196</v>
      </c>
      <c r="U63" t="s">
        <v>1020</v>
      </c>
      <c r="Z63" t="s">
        <v>1021</v>
      </c>
      <c r="AA63" t="s">
        <v>1022</v>
      </c>
      <c r="AB63" t="s">
        <v>1058</v>
      </c>
      <c r="AC63" t="s">
        <v>810</v>
      </c>
      <c r="AD63">
        <v>39.479999999999997</v>
      </c>
      <c r="AE63" t="s">
        <v>1059</v>
      </c>
      <c r="AF63">
        <v>2377</v>
      </c>
      <c r="AG63" t="s">
        <v>1060</v>
      </c>
      <c r="AR63" t="s">
        <v>1026</v>
      </c>
      <c r="AS63">
        <v>13.7</v>
      </c>
      <c r="AT63" t="s">
        <v>1061</v>
      </c>
      <c r="AU63">
        <v>13.8</v>
      </c>
      <c r="AV63" t="s">
        <v>1229</v>
      </c>
    </row>
    <row r="64" spans="1:48" x14ac:dyDescent="0.35">
      <c r="A64" t="s">
        <v>50</v>
      </c>
      <c r="B64" t="s">
        <v>804</v>
      </c>
      <c r="E64" t="s">
        <v>972</v>
      </c>
      <c r="F64" t="s">
        <v>834</v>
      </c>
      <c r="G64" t="s">
        <v>52</v>
      </c>
      <c r="H64">
        <v>1</v>
      </c>
      <c r="I64" t="s">
        <v>835</v>
      </c>
      <c r="J64" t="s">
        <v>54</v>
      </c>
      <c r="K64" t="s">
        <v>834</v>
      </c>
      <c r="L64" t="s">
        <v>831</v>
      </c>
      <c r="M64">
        <v>4</v>
      </c>
      <c r="N64" t="s">
        <v>810</v>
      </c>
      <c r="O64" t="s">
        <v>831</v>
      </c>
      <c r="Q64" t="s">
        <v>196</v>
      </c>
      <c r="U64" t="s">
        <v>1020</v>
      </c>
      <c r="Z64" t="s">
        <v>1021</v>
      </c>
      <c r="AA64" t="s">
        <v>1022</v>
      </c>
      <c r="AB64" t="s">
        <v>1062</v>
      </c>
      <c r="AC64" t="s">
        <v>810</v>
      </c>
      <c r="AD64">
        <v>45.79</v>
      </c>
      <c r="AE64" t="s">
        <v>1063</v>
      </c>
      <c r="AF64">
        <v>1430</v>
      </c>
      <c r="AG64" t="s">
        <v>1064</v>
      </c>
      <c r="AR64" t="s">
        <v>1026</v>
      </c>
      <c r="AS64">
        <v>16.7</v>
      </c>
      <c r="AT64" t="s">
        <v>1065</v>
      </c>
      <c r="AU64">
        <v>16.899999999999999</v>
      </c>
      <c r="AV64" t="s">
        <v>1230</v>
      </c>
    </row>
    <row r="65" spans="1:48" x14ac:dyDescent="0.35">
      <c r="A65" t="s">
        <v>50</v>
      </c>
      <c r="B65" t="s">
        <v>804</v>
      </c>
      <c r="E65" t="s">
        <v>973</v>
      </c>
      <c r="F65" t="s">
        <v>836</v>
      </c>
      <c r="G65" t="s">
        <v>52</v>
      </c>
      <c r="H65">
        <v>1</v>
      </c>
      <c r="I65" t="s">
        <v>837</v>
      </c>
      <c r="J65" t="s">
        <v>54</v>
      </c>
      <c r="K65" t="s">
        <v>836</v>
      </c>
      <c r="L65" t="s">
        <v>831</v>
      </c>
      <c r="M65">
        <v>5</v>
      </c>
      <c r="N65" t="s">
        <v>810</v>
      </c>
      <c r="O65" t="s">
        <v>831</v>
      </c>
      <c r="Q65" t="s">
        <v>196</v>
      </c>
      <c r="U65" t="s">
        <v>1020</v>
      </c>
      <c r="Z65" t="s">
        <v>1021</v>
      </c>
      <c r="AA65" t="s">
        <v>1022</v>
      </c>
      <c r="AB65" t="s">
        <v>1066</v>
      </c>
      <c r="AC65" t="s">
        <v>810</v>
      </c>
      <c r="AD65">
        <v>67.67</v>
      </c>
      <c r="AE65" t="s">
        <v>1067</v>
      </c>
      <c r="AF65">
        <v>2326</v>
      </c>
      <c r="AG65" t="s">
        <v>1068</v>
      </c>
      <c r="AR65" t="s">
        <v>1026</v>
      </c>
      <c r="AS65">
        <v>18.7</v>
      </c>
      <c r="AT65" t="s">
        <v>1069</v>
      </c>
      <c r="AU65">
        <v>18.399999999999999</v>
      </c>
      <c r="AV65" t="s">
        <v>1231</v>
      </c>
    </row>
    <row r="66" spans="1:48" x14ac:dyDescent="0.35">
      <c r="A66" t="s">
        <v>50</v>
      </c>
      <c r="B66" t="s">
        <v>804</v>
      </c>
      <c r="E66" t="s">
        <v>974</v>
      </c>
      <c r="F66" t="s">
        <v>838</v>
      </c>
      <c r="G66" t="s">
        <v>128</v>
      </c>
      <c r="H66">
        <v>1</v>
      </c>
      <c r="I66" t="s">
        <v>839</v>
      </c>
      <c r="J66" t="s">
        <v>54</v>
      </c>
      <c r="K66" t="s">
        <v>838</v>
      </c>
      <c r="L66" t="s">
        <v>840</v>
      </c>
      <c r="M66" t="s">
        <v>841</v>
      </c>
      <c r="N66" t="s">
        <v>810</v>
      </c>
      <c r="O66" t="s">
        <v>842</v>
      </c>
      <c r="Q66" t="s">
        <v>1019</v>
      </c>
      <c r="U66" t="s">
        <v>1020</v>
      </c>
      <c r="Z66" t="s">
        <v>1021</v>
      </c>
      <c r="AA66" t="s">
        <v>1022</v>
      </c>
      <c r="AB66" t="s">
        <v>1070</v>
      </c>
      <c r="AC66" t="s">
        <v>810</v>
      </c>
      <c r="AD66">
        <v>384400</v>
      </c>
      <c r="AE66" t="s">
        <v>1071</v>
      </c>
      <c r="AF66">
        <v>3475</v>
      </c>
      <c r="AG66" t="s">
        <v>1072</v>
      </c>
      <c r="AR66" t="s">
        <v>1026</v>
      </c>
      <c r="AS66">
        <v>-12.7</v>
      </c>
      <c r="AT66" t="s">
        <v>1073</v>
      </c>
      <c r="AU66">
        <v>-12.9</v>
      </c>
      <c r="AV66" t="s">
        <v>1232</v>
      </c>
    </row>
    <row r="67" spans="1:48" x14ac:dyDescent="0.35">
      <c r="A67" t="s">
        <v>50</v>
      </c>
      <c r="B67" t="s">
        <v>804</v>
      </c>
      <c r="E67" t="s">
        <v>975</v>
      </c>
      <c r="F67" t="s">
        <v>843</v>
      </c>
      <c r="G67" t="s">
        <v>305</v>
      </c>
      <c r="H67">
        <v>1</v>
      </c>
      <c r="I67" t="s">
        <v>844</v>
      </c>
      <c r="J67" t="s">
        <v>54</v>
      </c>
      <c r="K67" t="s">
        <v>843</v>
      </c>
      <c r="L67" t="s">
        <v>840</v>
      </c>
      <c r="M67" t="s">
        <v>845</v>
      </c>
      <c r="N67" t="s">
        <v>810</v>
      </c>
      <c r="O67" t="s">
        <v>846</v>
      </c>
      <c r="Q67" t="s">
        <v>196</v>
      </c>
      <c r="U67" t="s">
        <v>1020</v>
      </c>
      <c r="Z67" t="s">
        <v>1021</v>
      </c>
      <c r="AA67" t="s">
        <v>1022</v>
      </c>
      <c r="AB67" t="s">
        <v>1074</v>
      </c>
      <c r="AC67" t="s">
        <v>810</v>
      </c>
      <c r="AD67">
        <v>9376</v>
      </c>
      <c r="AE67" t="s">
        <v>1075</v>
      </c>
      <c r="AF67">
        <v>22.5</v>
      </c>
      <c r="AG67" t="s">
        <v>1076</v>
      </c>
      <c r="AR67" t="s">
        <v>1026</v>
      </c>
      <c r="AS67">
        <v>11.3</v>
      </c>
      <c r="AT67" t="s">
        <v>1077</v>
      </c>
      <c r="AU67">
        <v>10.4</v>
      </c>
      <c r="AV67" t="s">
        <v>1116</v>
      </c>
    </row>
    <row r="68" spans="1:48" x14ac:dyDescent="0.35">
      <c r="A68" t="s">
        <v>50</v>
      </c>
      <c r="B68" t="s">
        <v>804</v>
      </c>
      <c r="E68" t="s">
        <v>976</v>
      </c>
      <c r="F68" t="s">
        <v>847</v>
      </c>
      <c r="G68" t="s">
        <v>70</v>
      </c>
      <c r="H68">
        <v>1</v>
      </c>
      <c r="I68" t="s">
        <v>848</v>
      </c>
      <c r="J68" t="s">
        <v>54</v>
      </c>
      <c r="K68" t="s">
        <v>847</v>
      </c>
      <c r="L68" t="s">
        <v>840</v>
      </c>
      <c r="M68" t="s">
        <v>849</v>
      </c>
      <c r="N68" t="s">
        <v>810</v>
      </c>
      <c r="O68" t="s">
        <v>846</v>
      </c>
      <c r="Q68" t="s">
        <v>196</v>
      </c>
      <c r="U68" t="s">
        <v>1020</v>
      </c>
      <c r="Z68" t="s">
        <v>1021</v>
      </c>
      <c r="AA68" t="s">
        <v>1022</v>
      </c>
      <c r="AB68" t="s">
        <v>1078</v>
      </c>
      <c r="AC68" t="s">
        <v>810</v>
      </c>
      <c r="AD68">
        <v>23463</v>
      </c>
      <c r="AE68" t="s">
        <v>1079</v>
      </c>
      <c r="AF68">
        <v>12.4</v>
      </c>
      <c r="AG68" t="s">
        <v>1080</v>
      </c>
      <c r="AR68" t="s">
        <v>1026</v>
      </c>
      <c r="AS68">
        <v>12.4</v>
      </c>
      <c r="AT68" t="s">
        <v>1081</v>
      </c>
      <c r="AU68">
        <v>11.4</v>
      </c>
      <c r="AV68" t="s">
        <v>1233</v>
      </c>
    </row>
    <row r="69" spans="1:48" x14ac:dyDescent="0.35">
      <c r="A69" t="s">
        <v>50</v>
      </c>
      <c r="B69" t="s">
        <v>804</v>
      </c>
      <c r="E69" t="s">
        <v>977</v>
      </c>
      <c r="F69" t="s">
        <v>850</v>
      </c>
      <c r="G69" t="s">
        <v>305</v>
      </c>
      <c r="H69">
        <v>1</v>
      </c>
      <c r="I69" t="s">
        <v>851</v>
      </c>
      <c r="J69" t="s">
        <v>54</v>
      </c>
      <c r="K69" t="s">
        <v>850</v>
      </c>
      <c r="L69" t="s">
        <v>840</v>
      </c>
      <c r="M69" t="s">
        <v>852</v>
      </c>
      <c r="N69" t="s">
        <v>810</v>
      </c>
      <c r="O69" t="s">
        <v>853</v>
      </c>
      <c r="Q69" t="s">
        <v>196</v>
      </c>
      <c r="U69" t="s">
        <v>1020</v>
      </c>
      <c r="Z69" t="s">
        <v>1021</v>
      </c>
      <c r="AA69" t="s">
        <v>1022</v>
      </c>
      <c r="AB69" t="s">
        <v>1082</v>
      </c>
      <c r="AC69" t="s">
        <v>810</v>
      </c>
      <c r="AD69">
        <v>421700</v>
      </c>
      <c r="AE69" t="s">
        <v>1083</v>
      </c>
      <c r="AF69">
        <v>3643</v>
      </c>
      <c r="AG69" t="s">
        <v>1084</v>
      </c>
      <c r="AR69" t="s">
        <v>1026</v>
      </c>
      <c r="AS69">
        <v>5</v>
      </c>
      <c r="AT69" t="s">
        <v>1085</v>
      </c>
      <c r="AU69">
        <v>4.8</v>
      </c>
      <c r="AV69" t="s">
        <v>1234</v>
      </c>
    </row>
    <row r="70" spans="1:48" x14ac:dyDescent="0.35">
      <c r="A70" t="s">
        <v>50</v>
      </c>
      <c r="B70" t="s">
        <v>804</v>
      </c>
      <c r="E70" t="s">
        <v>978</v>
      </c>
      <c r="F70" t="s">
        <v>854</v>
      </c>
      <c r="G70" t="s">
        <v>305</v>
      </c>
      <c r="H70">
        <v>1</v>
      </c>
      <c r="I70" t="s">
        <v>855</v>
      </c>
      <c r="J70" t="s">
        <v>54</v>
      </c>
      <c r="K70" t="s">
        <v>854</v>
      </c>
      <c r="L70" t="s">
        <v>840</v>
      </c>
      <c r="M70" t="s">
        <v>856</v>
      </c>
      <c r="N70" t="s">
        <v>810</v>
      </c>
      <c r="O70" t="s">
        <v>853</v>
      </c>
      <c r="Q70" t="s">
        <v>196</v>
      </c>
      <c r="U70" t="s">
        <v>1020</v>
      </c>
      <c r="Z70" t="s">
        <v>1021</v>
      </c>
      <c r="AA70" t="s">
        <v>1022</v>
      </c>
      <c r="AB70" t="s">
        <v>1086</v>
      </c>
      <c r="AC70" t="s">
        <v>810</v>
      </c>
      <c r="AD70">
        <v>671100</v>
      </c>
      <c r="AE70" t="s">
        <v>1087</v>
      </c>
      <c r="AF70">
        <v>3122</v>
      </c>
      <c r="AG70" t="s">
        <v>1088</v>
      </c>
      <c r="AR70" t="s">
        <v>1026</v>
      </c>
      <c r="AS70">
        <v>5.3</v>
      </c>
      <c r="AT70" t="s">
        <v>1049</v>
      </c>
      <c r="AU70">
        <v>5.0999999999999996</v>
      </c>
      <c r="AV70" t="s">
        <v>1235</v>
      </c>
    </row>
    <row r="71" spans="1:48" x14ac:dyDescent="0.35">
      <c r="A71" t="s">
        <v>50</v>
      </c>
      <c r="B71" t="s">
        <v>804</v>
      </c>
      <c r="E71" t="s">
        <v>979</v>
      </c>
      <c r="F71" t="s">
        <v>857</v>
      </c>
      <c r="G71" t="s">
        <v>70</v>
      </c>
      <c r="H71">
        <v>1</v>
      </c>
      <c r="I71" t="s">
        <v>858</v>
      </c>
      <c r="J71" t="s">
        <v>54</v>
      </c>
      <c r="K71" t="s">
        <v>857</v>
      </c>
      <c r="L71" t="s">
        <v>840</v>
      </c>
      <c r="M71" t="s">
        <v>859</v>
      </c>
      <c r="N71" t="s">
        <v>810</v>
      </c>
      <c r="O71" t="s">
        <v>853</v>
      </c>
      <c r="Q71" t="s">
        <v>196</v>
      </c>
      <c r="U71" t="s">
        <v>1020</v>
      </c>
      <c r="Z71" t="s">
        <v>1021</v>
      </c>
      <c r="AA71" t="s">
        <v>1022</v>
      </c>
      <c r="AB71" t="s">
        <v>1089</v>
      </c>
      <c r="AC71" t="s">
        <v>810</v>
      </c>
      <c r="AD71">
        <v>1070400</v>
      </c>
      <c r="AE71" t="s">
        <v>1090</v>
      </c>
      <c r="AF71">
        <v>5268</v>
      </c>
      <c r="AG71" t="s">
        <v>1091</v>
      </c>
      <c r="AR71" t="s">
        <v>1026</v>
      </c>
      <c r="AS71">
        <v>4.5999999999999996</v>
      </c>
      <c r="AT71" t="s">
        <v>1092</v>
      </c>
      <c r="AU71">
        <v>4.4000000000000004</v>
      </c>
      <c r="AV71" t="s">
        <v>1236</v>
      </c>
    </row>
    <row r="72" spans="1:48" x14ac:dyDescent="0.35">
      <c r="A72" t="s">
        <v>50</v>
      </c>
      <c r="B72" t="s">
        <v>804</v>
      </c>
      <c r="E72" t="s">
        <v>980</v>
      </c>
      <c r="F72" t="s">
        <v>860</v>
      </c>
      <c r="G72" t="s">
        <v>70</v>
      </c>
      <c r="H72">
        <v>1</v>
      </c>
      <c r="I72" t="s">
        <v>861</v>
      </c>
      <c r="J72" t="s">
        <v>54</v>
      </c>
      <c r="K72" t="s">
        <v>860</v>
      </c>
      <c r="L72" t="s">
        <v>840</v>
      </c>
      <c r="M72" t="s">
        <v>862</v>
      </c>
      <c r="N72" t="s">
        <v>810</v>
      </c>
      <c r="O72" t="s">
        <v>853</v>
      </c>
      <c r="Q72" t="s">
        <v>196</v>
      </c>
      <c r="U72" t="s">
        <v>1020</v>
      </c>
      <c r="Z72" t="s">
        <v>1021</v>
      </c>
      <c r="AA72" t="s">
        <v>1022</v>
      </c>
      <c r="AB72" t="s">
        <v>1093</v>
      </c>
      <c r="AC72" t="s">
        <v>810</v>
      </c>
      <c r="AD72">
        <v>1882700</v>
      </c>
      <c r="AE72" t="s">
        <v>1094</v>
      </c>
      <c r="AF72">
        <v>4821</v>
      </c>
      <c r="AG72" t="s">
        <v>1095</v>
      </c>
      <c r="AR72" t="s">
        <v>1026</v>
      </c>
      <c r="AS72">
        <v>5.7</v>
      </c>
      <c r="AT72" t="s">
        <v>1096</v>
      </c>
      <c r="AU72">
        <v>5.5</v>
      </c>
      <c r="AV72" t="s">
        <v>1237</v>
      </c>
    </row>
    <row r="73" spans="1:48" x14ac:dyDescent="0.35">
      <c r="A73" t="s">
        <v>50</v>
      </c>
      <c r="B73" t="s">
        <v>804</v>
      </c>
      <c r="E73" t="s">
        <v>981</v>
      </c>
      <c r="F73" t="s">
        <v>863</v>
      </c>
      <c r="G73" t="s">
        <v>305</v>
      </c>
      <c r="H73">
        <v>1</v>
      </c>
      <c r="I73" t="s">
        <v>864</v>
      </c>
      <c r="J73" t="s">
        <v>54</v>
      </c>
      <c r="K73" t="s">
        <v>863</v>
      </c>
      <c r="L73" t="s">
        <v>840</v>
      </c>
      <c r="M73" t="s">
        <v>865</v>
      </c>
      <c r="N73" t="s">
        <v>810</v>
      </c>
      <c r="O73" t="s">
        <v>842</v>
      </c>
      <c r="Q73" t="s">
        <v>196</v>
      </c>
      <c r="U73" t="s">
        <v>1020</v>
      </c>
      <c r="Z73" t="s">
        <v>1021</v>
      </c>
      <c r="AA73" t="s">
        <v>1022</v>
      </c>
      <c r="AB73" t="s">
        <v>1097</v>
      </c>
      <c r="AC73" t="s">
        <v>810</v>
      </c>
      <c r="AD73">
        <v>1221870</v>
      </c>
      <c r="AE73" t="s">
        <v>1098</v>
      </c>
      <c r="AF73">
        <v>5150</v>
      </c>
      <c r="AG73" t="s">
        <v>1099</v>
      </c>
      <c r="AR73" t="s">
        <v>1026</v>
      </c>
      <c r="AS73">
        <v>8.1999999999999993</v>
      </c>
      <c r="AT73" t="s">
        <v>1100</v>
      </c>
      <c r="AU73">
        <v>8.1</v>
      </c>
      <c r="AV73" t="s">
        <v>1238</v>
      </c>
    </row>
    <row r="74" spans="1:48" x14ac:dyDescent="0.35">
      <c r="A74" t="s">
        <v>50</v>
      </c>
      <c r="B74" t="s">
        <v>804</v>
      </c>
      <c r="E74" t="s">
        <v>982</v>
      </c>
      <c r="F74" t="s">
        <v>866</v>
      </c>
      <c r="G74" t="s">
        <v>70</v>
      </c>
      <c r="H74">
        <v>1</v>
      </c>
      <c r="I74" t="s">
        <v>867</v>
      </c>
      <c r="J74" t="s">
        <v>54</v>
      </c>
      <c r="K74" t="s">
        <v>866</v>
      </c>
      <c r="L74" t="s">
        <v>840</v>
      </c>
      <c r="M74" t="s">
        <v>868</v>
      </c>
      <c r="N74" t="s">
        <v>810</v>
      </c>
      <c r="O74" t="s">
        <v>842</v>
      </c>
      <c r="Q74" t="s">
        <v>196</v>
      </c>
      <c r="U74" t="s">
        <v>1020</v>
      </c>
      <c r="Z74" t="s">
        <v>1021</v>
      </c>
      <c r="AA74" t="s">
        <v>1022</v>
      </c>
      <c r="AB74" t="s">
        <v>1101</v>
      </c>
      <c r="AC74" t="s">
        <v>810</v>
      </c>
      <c r="AD74">
        <v>237948</v>
      </c>
      <c r="AE74" t="s">
        <v>1102</v>
      </c>
      <c r="AF74">
        <v>504</v>
      </c>
      <c r="AG74" t="s">
        <v>1103</v>
      </c>
      <c r="AR74" t="s">
        <v>1026</v>
      </c>
      <c r="AS74">
        <v>11.7</v>
      </c>
      <c r="AT74" t="s">
        <v>1104</v>
      </c>
      <c r="AU74">
        <v>11.5</v>
      </c>
      <c r="AV74" t="s">
        <v>1239</v>
      </c>
    </row>
    <row r="75" spans="1:48" x14ac:dyDescent="0.35">
      <c r="A75" t="s">
        <v>50</v>
      </c>
      <c r="B75" t="s">
        <v>804</v>
      </c>
      <c r="E75" t="s">
        <v>983</v>
      </c>
      <c r="F75" t="s">
        <v>869</v>
      </c>
      <c r="G75" t="s">
        <v>52</v>
      </c>
      <c r="H75">
        <v>1</v>
      </c>
      <c r="I75" t="s">
        <v>870</v>
      </c>
      <c r="J75" t="s">
        <v>54</v>
      </c>
      <c r="K75" t="s">
        <v>869</v>
      </c>
      <c r="L75" t="s">
        <v>840</v>
      </c>
      <c r="M75" t="s">
        <v>871</v>
      </c>
      <c r="N75" t="s">
        <v>810</v>
      </c>
      <c r="O75" t="s">
        <v>842</v>
      </c>
      <c r="Q75" t="s">
        <v>196</v>
      </c>
      <c r="U75" t="s">
        <v>1020</v>
      </c>
      <c r="Z75" t="s">
        <v>1021</v>
      </c>
      <c r="AA75" t="s">
        <v>1022</v>
      </c>
      <c r="AB75" t="s">
        <v>1105</v>
      </c>
      <c r="AC75" t="s">
        <v>810</v>
      </c>
      <c r="AD75">
        <v>185539</v>
      </c>
      <c r="AE75" t="s">
        <v>1106</v>
      </c>
      <c r="AF75">
        <v>396</v>
      </c>
      <c r="AG75" t="s">
        <v>1107</v>
      </c>
      <c r="AR75" t="s">
        <v>1026</v>
      </c>
      <c r="AS75">
        <v>12.9</v>
      </c>
      <c r="AT75" t="s">
        <v>1108</v>
      </c>
      <c r="AU75">
        <v>12.6</v>
      </c>
      <c r="AV75" t="s">
        <v>1240</v>
      </c>
    </row>
    <row r="76" spans="1:48" x14ac:dyDescent="0.35">
      <c r="A76" t="s">
        <v>50</v>
      </c>
      <c r="B76" t="s">
        <v>804</v>
      </c>
      <c r="E76" t="s">
        <v>984</v>
      </c>
      <c r="F76" t="s">
        <v>872</v>
      </c>
      <c r="G76" t="s">
        <v>52</v>
      </c>
      <c r="H76">
        <v>1</v>
      </c>
      <c r="I76" t="s">
        <v>873</v>
      </c>
      <c r="J76" t="s">
        <v>54</v>
      </c>
      <c r="K76" t="s">
        <v>872</v>
      </c>
      <c r="L76" t="s">
        <v>840</v>
      </c>
      <c r="M76" t="s">
        <v>874</v>
      </c>
      <c r="N76" t="s">
        <v>810</v>
      </c>
      <c r="O76" t="s">
        <v>842</v>
      </c>
      <c r="Q76" t="s">
        <v>196</v>
      </c>
      <c r="U76" t="s">
        <v>1020</v>
      </c>
      <c r="Z76" t="s">
        <v>1021</v>
      </c>
      <c r="AA76" t="s">
        <v>1022</v>
      </c>
      <c r="AB76" t="s">
        <v>1109</v>
      </c>
      <c r="AC76" t="s">
        <v>810</v>
      </c>
      <c r="AD76">
        <v>527108</v>
      </c>
      <c r="AE76" t="s">
        <v>1110</v>
      </c>
      <c r="AF76">
        <v>1528</v>
      </c>
      <c r="AG76" t="s">
        <v>1111</v>
      </c>
      <c r="AR76" t="s">
        <v>1026</v>
      </c>
      <c r="AS76">
        <v>9.6999999999999993</v>
      </c>
      <c r="AT76" t="s">
        <v>1112</v>
      </c>
      <c r="AU76">
        <v>9.4</v>
      </c>
      <c r="AV76" t="s">
        <v>1241</v>
      </c>
    </row>
    <row r="77" spans="1:48" x14ac:dyDescent="0.35">
      <c r="A77" t="s">
        <v>50</v>
      </c>
      <c r="B77" t="s">
        <v>804</v>
      </c>
      <c r="E77" t="s">
        <v>985</v>
      </c>
      <c r="F77" t="s">
        <v>875</v>
      </c>
      <c r="G77" t="s">
        <v>52</v>
      </c>
      <c r="H77">
        <v>1</v>
      </c>
      <c r="I77" t="s">
        <v>876</v>
      </c>
      <c r="J77" t="s">
        <v>54</v>
      </c>
      <c r="K77" t="s">
        <v>875</v>
      </c>
      <c r="L77" t="s">
        <v>840</v>
      </c>
      <c r="M77" t="s">
        <v>877</v>
      </c>
      <c r="N77" t="s">
        <v>810</v>
      </c>
      <c r="O77" t="s">
        <v>842</v>
      </c>
      <c r="Q77" t="s">
        <v>196</v>
      </c>
      <c r="U77" t="s">
        <v>1020</v>
      </c>
      <c r="Z77" t="s">
        <v>1021</v>
      </c>
      <c r="AA77" t="s">
        <v>1022</v>
      </c>
      <c r="AB77" t="s">
        <v>1113</v>
      </c>
      <c r="AC77" t="s">
        <v>810</v>
      </c>
      <c r="AD77">
        <v>377400</v>
      </c>
      <c r="AE77" t="s">
        <v>1114</v>
      </c>
      <c r="AF77">
        <v>1123</v>
      </c>
      <c r="AG77" t="s">
        <v>1115</v>
      </c>
      <c r="AR77" t="s">
        <v>1026</v>
      </c>
      <c r="AS77">
        <v>10.4</v>
      </c>
      <c r="AT77" t="s">
        <v>1116</v>
      </c>
      <c r="AU77">
        <v>10.1</v>
      </c>
      <c r="AV77" t="s">
        <v>1242</v>
      </c>
    </row>
    <row r="78" spans="1:48" x14ac:dyDescent="0.35">
      <c r="A78" t="s">
        <v>50</v>
      </c>
      <c r="B78" t="s">
        <v>804</v>
      </c>
      <c r="E78" t="s">
        <v>986</v>
      </c>
      <c r="F78" t="s">
        <v>878</v>
      </c>
      <c r="G78" t="s">
        <v>52</v>
      </c>
      <c r="H78">
        <v>1</v>
      </c>
      <c r="I78" t="s">
        <v>879</v>
      </c>
      <c r="J78" t="s">
        <v>54</v>
      </c>
      <c r="K78" t="s">
        <v>878</v>
      </c>
      <c r="L78" t="s">
        <v>840</v>
      </c>
      <c r="M78" t="s">
        <v>880</v>
      </c>
      <c r="N78" t="s">
        <v>810</v>
      </c>
      <c r="O78" t="s">
        <v>842</v>
      </c>
      <c r="Q78" t="s">
        <v>196</v>
      </c>
      <c r="U78" t="s">
        <v>1020</v>
      </c>
      <c r="Z78" t="s">
        <v>1021</v>
      </c>
      <c r="AA78" t="s">
        <v>1022</v>
      </c>
      <c r="AB78" t="s">
        <v>1117</v>
      </c>
      <c r="AC78" t="s">
        <v>810</v>
      </c>
      <c r="AD78">
        <v>294619</v>
      </c>
      <c r="AE78" t="s">
        <v>1118</v>
      </c>
      <c r="AF78">
        <v>1062</v>
      </c>
      <c r="AG78" t="s">
        <v>1119</v>
      </c>
      <c r="AR78" t="s">
        <v>1026</v>
      </c>
      <c r="AS78">
        <v>10.199999999999999</v>
      </c>
      <c r="AT78" t="s">
        <v>1120</v>
      </c>
      <c r="AU78">
        <v>10</v>
      </c>
      <c r="AV78" t="s">
        <v>1243</v>
      </c>
    </row>
    <row r="79" spans="1:48" x14ac:dyDescent="0.35">
      <c r="A79" t="s">
        <v>50</v>
      </c>
      <c r="B79" t="s">
        <v>804</v>
      </c>
      <c r="E79" t="s">
        <v>987</v>
      </c>
      <c r="F79" t="s">
        <v>881</v>
      </c>
      <c r="G79" t="s">
        <v>52</v>
      </c>
      <c r="H79">
        <v>1</v>
      </c>
      <c r="I79" t="s">
        <v>882</v>
      </c>
      <c r="J79" t="s">
        <v>54</v>
      </c>
      <c r="K79" t="s">
        <v>881</v>
      </c>
      <c r="L79" t="s">
        <v>840</v>
      </c>
      <c r="M79" t="s">
        <v>883</v>
      </c>
      <c r="N79" t="s">
        <v>810</v>
      </c>
      <c r="O79" t="s">
        <v>842</v>
      </c>
      <c r="Q79" t="s">
        <v>196</v>
      </c>
      <c r="U79" t="s">
        <v>1020</v>
      </c>
      <c r="Z79" t="s">
        <v>1021</v>
      </c>
      <c r="AA79" t="s">
        <v>1022</v>
      </c>
      <c r="AB79" t="s">
        <v>1121</v>
      </c>
      <c r="AC79" t="s">
        <v>810</v>
      </c>
      <c r="AD79">
        <v>3560820</v>
      </c>
      <c r="AE79" t="s">
        <v>1122</v>
      </c>
      <c r="AF79">
        <v>1469</v>
      </c>
      <c r="AG79" t="s">
        <v>1123</v>
      </c>
      <c r="AR79" t="s">
        <v>1026</v>
      </c>
      <c r="AS79">
        <v>10.199999999999999</v>
      </c>
      <c r="AT79" t="s">
        <v>1120</v>
      </c>
      <c r="AU79">
        <v>10.8</v>
      </c>
      <c r="AV79" t="s">
        <v>1244</v>
      </c>
    </row>
    <row r="80" spans="1:48" x14ac:dyDescent="0.35">
      <c r="A80" t="s">
        <v>50</v>
      </c>
      <c r="B80" t="s">
        <v>804</v>
      </c>
      <c r="E80" t="s">
        <v>988</v>
      </c>
      <c r="F80" t="s">
        <v>884</v>
      </c>
      <c r="G80" t="s">
        <v>52</v>
      </c>
      <c r="H80">
        <v>1</v>
      </c>
      <c r="I80" t="s">
        <v>885</v>
      </c>
      <c r="J80" t="s">
        <v>54</v>
      </c>
      <c r="K80" t="s">
        <v>884</v>
      </c>
      <c r="L80" t="s">
        <v>840</v>
      </c>
      <c r="M80" t="s">
        <v>886</v>
      </c>
      <c r="N80" t="s">
        <v>810</v>
      </c>
      <c r="O80" t="s">
        <v>887</v>
      </c>
      <c r="Q80" t="s">
        <v>196</v>
      </c>
      <c r="U80" t="s">
        <v>1020</v>
      </c>
      <c r="Z80" t="s">
        <v>1021</v>
      </c>
      <c r="AA80" t="s">
        <v>1022</v>
      </c>
      <c r="AB80" t="s">
        <v>1124</v>
      </c>
      <c r="AC80" t="s">
        <v>810</v>
      </c>
      <c r="AD80">
        <v>1481100</v>
      </c>
      <c r="AE80" t="s">
        <v>1125</v>
      </c>
      <c r="AF80">
        <v>270</v>
      </c>
      <c r="AG80" t="s">
        <v>1126</v>
      </c>
      <c r="AR80" t="s">
        <v>1026</v>
      </c>
      <c r="AS80">
        <v>14.2</v>
      </c>
      <c r="AT80" t="s">
        <v>1127</v>
      </c>
      <c r="AU80">
        <v>14.1</v>
      </c>
      <c r="AV80" t="s">
        <v>1157</v>
      </c>
    </row>
    <row r="81" spans="1:48" x14ac:dyDescent="0.35">
      <c r="A81" t="s">
        <v>50</v>
      </c>
      <c r="B81" t="s">
        <v>804</v>
      </c>
      <c r="E81" t="s">
        <v>989</v>
      </c>
      <c r="F81" t="s">
        <v>888</v>
      </c>
      <c r="G81" t="s">
        <v>52</v>
      </c>
      <c r="H81">
        <v>1</v>
      </c>
      <c r="I81" t="s">
        <v>889</v>
      </c>
      <c r="J81" t="s">
        <v>54</v>
      </c>
      <c r="K81" t="s">
        <v>888</v>
      </c>
      <c r="L81" t="s">
        <v>840</v>
      </c>
      <c r="M81" t="s">
        <v>890</v>
      </c>
      <c r="N81" t="s">
        <v>810</v>
      </c>
      <c r="O81" t="s">
        <v>891</v>
      </c>
      <c r="Q81" t="s">
        <v>196</v>
      </c>
      <c r="U81" t="s">
        <v>1020</v>
      </c>
      <c r="Z81" t="s">
        <v>1021</v>
      </c>
      <c r="AA81" t="s">
        <v>1022</v>
      </c>
      <c r="AB81" t="s">
        <v>1128</v>
      </c>
      <c r="AC81" t="s">
        <v>810</v>
      </c>
      <c r="AD81">
        <v>12947918</v>
      </c>
      <c r="AE81" t="s">
        <v>1129</v>
      </c>
      <c r="AF81">
        <v>213</v>
      </c>
      <c r="AG81" t="s">
        <v>1130</v>
      </c>
      <c r="AR81" t="s">
        <v>1026</v>
      </c>
      <c r="AS81">
        <v>16.5</v>
      </c>
      <c r="AT81" t="s">
        <v>1131</v>
      </c>
      <c r="AU81">
        <v>16.100000000000001</v>
      </c>
      <c r="AV81" t="s">
        <v>1245</v>
      </c>
    </row>
    <row r="82" spans="1:48" x14ac:dyDescent="0.35">
      <c r="A82" t="s">
        <v>50</v>
      </c>
      <c r="B82" t="s">
        <v>804</v>
      </c>
      <c r="E82" t="s">
        <v>990</v>
      </c>
      <c r="F82" t="s">
        <v>892</v>
      </c>
      <c r="G82" t="s">
        <v>52</v>
      </c>
      <c r="H82">
        <v>1</v>
      </c>
      <c r="I82" t="s">
        <v>893</v>
      </c>
      <c r="J82" t="s">
        <v>54</v>
      </c>
      <c r="K82" t="s">
        <v>892</v>
      </c>
      <c r="L82" t="s">
        <v>840</v>
      </c>
      <c r="M82" t="s">
        <v>894</v>
      </c>
      <c r="N82" t="s">
        <v>810</v>
      </c>
      <c r="O82" t="s">
        <v>842</v>
      </c>
      <c r="Q82" t="s">
        <v>196</v>
      </c>
      <c r="U82" t="s">
        <v>1020</v>
      </c>
      <c r="Z82" t="s">
        <v>1021</v>
      </c>
      <c r="AA82" t="s">
        <v>1022</v>
      </c>
      <c r="AB82" t="s">
        <v>1132</v>
      </c>
      <c r="AC82" t="s">
        <v>810</v>
      </c>
      <c r="AD82">
        <v>435910</v>
      </c>
      <c r="AE82" t="s">
        <v>1133</v>
      </c>
      <c r="AF82">
        <v>1578</v>
      </c>
      <c r="AG82" t="s">
        <v>1134</v>
      </c>
      <c r="AR82" t="s">
        <v>1026</v>
      </c>
      <c r="AS82">
        <v>13.9</v>
      </c>
      <c r="AT82" t="s">
        <v>1135</v>
      </c>
      <c r="AU82">
        <v>13.5</v>
      </c>
      <c r="AV82" t="s">
        <v>1150</v>
      </c>
    </row>
    <row r="83" spans="1:48" x14ac:dyDescent="0.35">
      <c r="A83" t="s">
        <v>50</v>
      </c>
      <c r="B83" t="s">
        <v>804</v>
      </c>
      <c r="E83" t="s">
        <v>991</v>
      </c>
      <c r="F83" t="s">
        <v>895</v>
      </c>
      <c r="G83" t="s">
        <v>52</v>
      </c>
      <c r="H83">
        <v>1</v>
      </c>
      <c r="I83" t="s">
        <v>896</v>
      </c>
      <c r="J83" t="s">
        <v>54</v>
      </c>
      <c r="K83" t="s">
        <v>895</v>
      </c>
      <c r="L83" t="s">
        <v>840</v>
      </c>
      <c r="M83" t="s">
        <v>897</v>
      </c>
      <c r="N83" t="s">
        <v>810</v>
      </c>
      <c r="O83" t="s">
        <v>842</v>
      </c>
      <c r="Q83" t="s">
        <v>196</v>
      </c>
      <c r="U83" t="s">
        <v>1020</v>
      </c>
      <c r="Z83" t="s">
        <v>1021</v>
      </c>
      <c r="AA83" t="s">
        <v>1022</v>
      </c>
      <c r="AB83" t="s">
        <v>1136</v>
      </c>
      <c r="AC83" t="s">
        <v>810</v>
      </c>
      <c r="AD83">
        <v>190900</v>
      </c>
      <c r="AE83" t="s">
        <v>1137</v>
      </c>
      <c r="AF83">
        <v>1158</v>
      </c>
      <c r="AG83" t="s">
        <v>1138</v>
      </c>
      <c r="AR83" t="s">
        <v>1026</v>
      </c>
      <c r="AS83">
        <v>14.2</v>
      </c>
      <c r="AT83" t="s">
        <v>1127</v>
      </c>
      <c r="AU83">
        <v>14</v>
      </c>
      <c r="AV83" t="s">
        <v>1246</v>
      </c>
    </row>
    <row r="84" spans="1:48" x14ac:dyDescent="0.35">
      <c r="A84" t="s">
        <v>50</v>
      </c>
      <c r="B84" t="s">
        <v>804</v>
      </c>
      <c r="E84" t="s">
        <v>992</v>
      </c>
      <c r="F84" t="s">
        <v>898</v>
      </c>
      <c r="G84" t="s">
        <v>52</v>
      </c>
      <c r="H84">
        <v>1</v>
      </c>
      <c r="I84" t="s">
        <v>899</v>
      </c>
      <c r="J84" t="s">
        <v>54</v>
      </c>
      <c r="K84" t="s">
        <v>898</v>
      </c>
      <c r="L84" t="s">
        <v>840</v>
      </c>
      <c r="M84" t="s">
        <v>900</v>
      </c>
      <c r="N84" t="s">
        <v>810</v>
      </c>
      <c r="O84" t="s">
        <v>842</v>
      </c>
      <c r="Q84" t="s">
        <v>196</v>
      </c>
      <c r="U84" t="s">
        <v>1020</v>
      </c>
      <c r="Z84" t="s">
        <v>1021</v>
      </c>
      <c r="AA84" t="s">
        <v>1022</v>
      </c>
      <c r="AB84" t="s">
        <v>1139</v>
      </c>
      <c r="AC84" t="s">
        <v>810</v>
      </c>
      <c r="AD84">
        <v>266000</v>
      </c>
      <c r="AE84" t="s">
        <v>1140</v>
      </c>
      <c r="AF84">
        <v>1169</v>
      </c>
      <c r="AG84" t="s">
        <v>1141</v>
      </c>
      <c r="AR84" t="s">
        <v>1026</v>
      </c>
      <c r="AS84">
        <v>15.3</v>
      </c>
      <c r="AT84" t="s">
        <v>1142</v>
      </c>
      <c r="AU84">
        <v>14.6</v>
      </c>
      <c r="AV84" t="s">
        <v>1247</v>
      </c>
    </row>
    <row r="85" spans="1:48" x14ac:dyDescent="0.35">
      <c r="A85" t="s">
        <v>50</v>
      </c>
      <c r="B85" t="s">
        <v>804</v>
      </c>
      <c r="E85" t="s">
        <v>993</v>
      </c>
      <c r="F85" t="s">
        <v>901</v>
      </c>
      <c r="G85" t="s">
        <v>52</v>
      </c>
      <c r="H85">
        <v>1</v>
      </c>
      <c r="I85" t="s">
        <v>902</v>
      </c>
      <c r="J85" t="s">
        <v>54</v>
      </c>
      <c r="K85" t="s">
        <v>901</v>
      </c>
      <c r="L85" t="s">
        <v>840</v>
      </c>
      <c r="M85" t="s">
        <v>903</v>
      </c>
      <c r="N85" t="s">
        <v>810</v>
      </c>
      <c r="O85" t="s">
        <v>842</v>
      </c>
      <c r="Q85" t="s">
        <v>196</v>
      </c>
      <c r="U85" t="s">
        <v>1020</v>
      </c>
      <c r="Z85" t="s">
        <v>1021</v>
      </c>
      <c r="AA85" t="s">
        <v>1022</v>
      </c>
      <c r="AB85" t="s">
        <v>1143</v>
      </c>
      <c r="AC85" t="s">
        <v>810</v>
      </c>
      <c r="AD85">
        <v>129900</v>
      </c>
      <c r="AE85" t="s">
        <v>1144</v>
      </c>
      <c r="AF85">
        <v>472</v>
      </c>
      <c r="AG85" t="s">
        <v>1145</v>
      </c>
      <c r="AR85" t="s">
        <v>1026</v>
      </c>
      <c r="AS85">
        <v>16.600000000000001</v>
      </c>
      <c r="AT85" t="s">
        <v>1146</v>
      </c>
      <c r="AU85">
        <v>16.100000000000001</v>
      </c>
      <c r="AV85" t="s">
        <v>1245</v>
      </c>
    </row>
    <row r="86" spans="1:48" x14ac:dyDescent="0.35">
      <c r="A86" t="s">
        <v>50</v>
      </c>
      <c r="B86" t="s">
        <v>804</v>
      </c>
      <c r="E86" t="s">
        <v>994</v>
      </c>
      <c r="F86" t="s">
        <v>904</v>
      </c>
      <c r="G86" t="s">
        <v>52</v>
      </c>
      <c r="H86">
        <v>1</v>
      </c>
      <c r="I86" t="s">
        <v>905</v>
      </c>
      <c r="J86" t="s">
        <v>54</v>
      </c>
      <c r="K86" t="s">
        <v>904</v>
      </c>
      <c r="L86" t="s">
        <v>840</v>
      </c>
      <c r="M86" t="s">
        <v>906</v>
      </c>
      <c r="N86" t="s">
        <v>810</v>
      </c>
      <c r="O86" t="s">
        <v>842</v>
      </c>
      <c r="Q86" t="s">
        <v>196</v>
      </c>
      <c r="U86" t="s">
        <v>1020</v>
      </c>
      <c r="Z86" t="s">
        <v>1021</v>
      </c>
      <c r="AA86" t="s">
        <v>1022</v>
      </c>
      <c r="AB86" t="s">
        <v>1147</v>
      </c>
      <c r="AC86" t="s">
        <v>810</v>
      </c>
      <c r="AD86">
        <v>354759</v>
      </c>
      <c r="AE86" t="s">
        <v>1148</v>
      </c>
      <c r="AF86">
        <v>2707</v>
      </c>
      <c r="AG86" t="s">
        <v>1149</v>
      </c>
      <c r="AR86" t="s">
        <v>1026</v>
      </c>
      <c r="AS86">
        <v>13.5</v>
      </c>
      <c r="AT86" t="s">
        <v>1150</v>
      </c>
      <c r="AU86">
        <v>13.4</v>
      </c>
      <c r="AV86" t="s">
        <v>1248</v>
      </c>
    </row>
    <row r="87" spans="1:48" x14ac:dyDescent="0.35">
      <c r="A87" t="s">
        <v>50</v>
      </c>
      <c r="B87" t="s">
        <v>804</v>
      </c>
      <c r="E87" t="s">
        <v>995</v>
      </c>
      <c r="F87" t="s">
        <v>907</v>
      </c>
      <c r="G87" t="s">
        <v>52</v>
      </c>
      <c r="H87">
        <v>1</v>
      </c>
      <c r="I87" t="s">
        <v>908</v>
      </c>
      <c r="J87" t="s">
        <v>54</v>
      </c>
      <c r="K87" t="s">
        <v>907</v>
      </c>
      <c r="L87" t="s">
        <v>840</v>
      </c>
      <c r="M87" t="s">
        <v>909</v>
      </c>
      <c r="N87" t="s">
        <v>810</v>
      </c>
      <c r="O87" t="s">
        <v>842</v>
      </c>
      <c r="Q87" t="s">
        <v>196</v>
      </c>
      <c r="U87" t="s">
        <v>1020</v>
      </c>
      <c r="Z87" t="s">
        <v>1021</v>
      </c>
      <c r="AA87" t="s">
        <v>1022</v>
      </c>
      <c r="AB87" t="s">
        <v>1151</v>
      </c>
      <c r="AC87" t="s">
        <v>810</v>
      </c>
      <c r="AD87">
        <v>5513400</v>
      </c>
      <c r="AE87" t="s">
        <v>1152</v>
      </c>
      <c r="AF87">
        <v>340</v>
      </c>
      <c r="AG87" t="s">
        <v>1153</v>
      </c>
      <c r="AR87" t="s">
        <v>1026</v>
      </c>
      <c r="AS87">
        <v>18.7</v>
      </c>
      <c r="AT87" t="s">
        <v>1069</v>
      </c>
      <c r="AU87">
        <v>18.7</v>
      </c>
      <c r="AV87" t="s">
        <v>1069</v>
      </c>
    </row>
    <row r="88" spans="1:48" x14ac:dyDescent="0.35">
      <c r="A88" t="s">
        <v>50</v>
      </c>
      <c r="B88" t="s">
        <v>804</v>
      </c>
      <c r="E88" t="s">
        <v>996</v>
      </c>
      <c r="F88" t="s">
        <v>910</v>
      </c>
      <c r="G88" t="s">
        <v>52</v>
      </c>
      <c r="H88">
        <v>1</v>
      </c>
      <c r="I88" t="s">
        <v>911</v>
      </c>
      <c r="J88" t="s">
        <v>54</v>
      </c>
      <c r="K88" t="s">
        <v>910</v>
      </c>
      <c r="L88" t="s">
        <v>840</v>
      </c>
      <c r="M88" t="s">
        <v>912</v>
      </c>
      <c r="N88" t="s">
        <v>810</v>
      </c>
      <c r="O88" t="s">
        <v>913</v>
      </c>
      <c r="Q88" t="s">
        <v>196</v>
      </c>
      <c r="U88" t="s">
        <v>1020</v>
      </c>
      <c r="Z88" t="s">
        <v>1021</v>
      </c>
      <c r="AA88" t="s">
        <v>1022</v>
      </c>
      <c r="AB88" t="s">
        <v>1154</v>
      </c>
      <c r="AC88" t="s">
        <v>810</v>
      </c>
      <c r="AD88">
        <v>181400</v>
      </c>
      <c r="AE88" t="s">
        <v>1155</v>
      </c>
      <c r="AF88">
        <v>167</v>
      </c>
      <c r="AG88" t="s">
        <v>1156</v>
      </c>
      <c r="AR88" t="s">
        <v>1026</v>
      </c>
      <c r="AS88">
        <v>14.1</v>
      </c>
      <c r="AT88" t="s">
        <v>1157</v>
      </c>
      <c r="AU88">
        <v>13.9</v>
      </c>
      <c r="AV88" t="s">
        <v>1135</v>
      </c>
    </row>
    <row r="89" spans="1:48" x14ac:dyDescent="0.35">
      <c r="A89" t="s">
        <v>50</v>
      </c>
      <c r="B89" t="s">
        <v>804</v>
      </c>
      <c r="E89" t="s">
        <v>997</v>
      </c>
      <c r="F89" t="s">
        <v>914</v>
      </c>
      <c r="G89" t="s">
        <v>70</v>
      </c>
      <c r="H89">
        <v>1</v>
      </c>
      <c r="I89" t="s">
        <v>915</v>
      </c>
      <c r="J89" t="s">
        <v>54</v>
      </c>
      <c r="K89" t="s">
        <v>1011</v>
      </c>
      <c r="L89" t="s">
        <v>916</v>
      </c>
      <c r="M89" t="s">
        <v>917</v>
      </c>
      <c r="N89" t="s">
        <v>810</v>
      </c>
      <c r="O89" t="s">
        <v>918</v>
      </c>
      <c r="Q89" t="s">
        <v>196</v>
      </c>
      <c r="U89" t="s">
        <v>1020</v>
      </c>
      <c r="Z89" t="s">
        <v>1021</v>
      </c>
      <c r="AA89" t="s">
        <v>1022</v>
      </c>
      <c r="AB89" t="s">
        <v>1158</v>
      </c>
      <c r="AC89" t="s">
        <v>810</v>
      </c>
      <c r="AE89" t="s">
        <v>1159</v>
      </c>
      <c r="AF89">
        <v>16000</v>
      </c>
      <c r="AG89" t="s">
        <v>1160</v>
      </c>
      <c r="AR89" t="s">
        <v>1026</v>
      </c>
    </row>
    <row r="90" spans="1:48" x14ac:dyDescent="0.35">
      <c r="A90" t="s">
        <v>50</v>
      </c>
      <c r="B90" t="s">
        <v>804</v>
      </c>
      <c r="E90" t="s">
        <v>998</v>
      </c>
      <c r="F90" t="s">
        <v>919</v>
      </c>
      <c r="G90" t="s">
        <v>70</v>
      </c>
      <c r="H90">
        <v>1</v>
      </c>
      <c r="I90" t="s">
        <v>920</v>
      </c>
      <c r="J90" t="s">
        <v>54</v>
      </c>
      <c r="K90" t="s">
        <v>919</v>
      </c>
      <c r="L90" t="s">
        <v>916</v>
      </c>
      <c r="M90" t="s">
        <v>921</v>
      </c>
      <c r="N90" t="s">
        <v>810</v>
      </c>
      <c r="O90" t="s">
        <v>922</v>
      </c>
      <c r="Q90" t="s">
        <v>196</v>
      </c>
      <c r="U90" t="s">
        <v>1020</v>
      </c>
      <c r="Z90" t="s">
        <v>1021</v>
      </c>
      <c r="AA90" t="s">
        <v>1022</v>
      </c>
      <c r="AB90" t="s">
        <v>1161</v>
      </c>
      <c r="AC90" t="s">
        <v>810</v>
      </c>
      <c r="AE90" t="s">
        <v>1162</v>
      </c>
      <c r="AF90">
        <v>100000</v>
      </c>
      <c r="AG90" t="s">
        <v>1163</v>
      </c>
      <c r="AR90" t="s">
        <v>1026</v>
      </c>
    </row>
    <row r="91" spans="1:48" x14ac:dyDescent="0.35">
      <c r="A91" t="s">
        <v>50</v>
      </c>
      <c r="B91" t="s">
        <v>804</v>
      </c>
      <c r="E91" t="s">
        <v>999</v>
      </c>
      <c r="F91" t="s">
        <v>923</v>
      </c>
      <c r="G91" t="s">
        <v>305</v>
      </c>
      <c r="H91">
        <v>1</v>
      </c>
      <c r="I91" t="s">
        <v>924</v>
      </c>
      <c r="J91" t="s">
        <v>54</v>
      </c>
      <c r="K91" t="s">
        <v>923</v>
      </c>
      <c r="L91" t="s">
        <v>916</v>
      </c>
      <c r="M91" t="s">
        <v>925</v>
      </c>
      <c r="N91" t="s">
        <v>810</v>
      </c>
      <c r="O91" t="s">
        <v>926</v>
      </c>
      <c r="Q91" t="s">
        <v>196</v>
      </c>
      <c r="U91" t="s">
        <v>1020</v>
      </c>
      <c r="Z91" t="s">
        <v>1021</v>
      </c>
      <c r="AA91" t="s">
        <v>1022</v>
      </c>
      <c r="AB91" t="s">
        <v>1164</v>
      </c>
      <c r="AC91" t="s">
        <v>810</v>
      </c>
      <c r="AE91" t="s">
        <v>1159</v>
      </c>
      <c r="AF91">
        <v>20000</v>
      </c>
      <c r="AG91" t="s">
        <v>1165</v>
      </c>
      <c r="AR91" t="s">
        <v>1026</v>
      </c>
    </row>
    <row r="92" spans="1:48" x14ac:dyDescent="0.35">
      <c r="A92" t="s">
        <v>50</v>
      </c>
      <c r="B92" t="s">
        <v>804</v>
      </c>
      <c r="E92" t="s">
        <v>1015</v>
      </c>
      <c r="F92" t="s">
        <v>1016</v>
      </c>
      <c r="G92" t="s">
        <v>305</v>
      </c>
      <c r="H92">
        <v>1</v>
      </c>
      <c r="I92" t="s">
        <v>1017</v>
      </c>
      <c r="J92" t="s">
        <v>54</v>
      </c>
      <c r="K92" t="s">
        <v>1016</v>
      </c>
      <c r="L92" t="s">
        <v>916</v>
      </c>
      <c r="M92" t="s">
        <v>1018</v>
      </c>
      <c r="N92" t="s">
        <v>810</v>
      </c>
      <c r="O92" t="s">
        <v>926</v>
      </c>
      <c r="Q92" t="s">
        <v>196</v>
      </c>
      <c r="U92" t="s">
        <v>1020</v>
      </c>
      <c r="Z92" t="s">
        <v>1021</v>
      </c>
      <c r="AA92" t="s">
        <v>1022</v>
      </c>
      <c r="AB92" t="s">
        <v>1166</v>
      </c>
      <c r="AC92" t="s">
        <v>810</v>
      </c>
      <c r="AE92" t="s">
        <v>1167</v>
      </c>
      <c r="AF92">
        <v>20000</v>
      </c>
      <c r="AG92" t="s">
        <v>1165</v>
      </c>
      <c r="AR92" t="s">
        <v>1026</v>
      </c>
    </row>
    <row r="93" spans="1:48" x14ac:dyDescent="0.35">
      <c r="A93" t="s">
        <v>50</v>
      </c>
      <c r="B93" t="s">
        <v>804</v>
      </c>
      <c r="E93" t="s">
        <v>1000</v>
      </c>
      <c r="F93" t="s">
        <v>927</v>
      </c>
      <c r="G93" t="s">
        <v>52</v>
      </c>
      <c r="H93">
        <v>1</v>
      </c>
      <c r="I93" t="s">
        <v>928</v>
      </c>
      <c r="J93" t="s">
        <v>54</v>
      </c>
      <c r="K93" t="s">
        <v>927</v>
      </c>
      <c r="L93" t="s">
        <v>916</v>
      </c>
      <c r="M93" t="s">
        <v>929</v>
      </c>
      <c r="N93" t="s">
        <v>810</v>
      </c>
      <c r="O93" t="s">
        <v>930</v>
      </c>
      <c r="Q93" t="s">
        <v>196</v>
      </c>
      <c r="U93" t="s">
        <v>1020</v>
      </c>
      <c r="Z93" t="s">
        <v>1021</v>
      </c>
      <c r="AA93" t="s">
        <v>1022</v>
      </c>
      <c r="AB93" t="s">
        <v>1168</v>
      </c>
      <c r="AC93" t="s">
        <v>810</v>
      </c>
      <c r="AE93" t="s">
        <v>1167</v>
      </c>
      <c r="AF93">
        <v>30000</v>
      </c>
      <c r="AG93" t="s">
        <v>1169</v>
      </c>
      <c r="AR93" t="s">
        <v>1026</v>
      </c>
    </row>
    <row r="94" spans="1:48" x14ac:dyDescent="0.35">
      <c r="A94" t="s">
        <v>50</v>
      </c>
      <c r="B94" t="s">
        <v>804</v>
      </c>
      <c r="E94" t="s">
        <v>1001</v>
      </c>
      <c r="F94" t="s">
        <v>931</v>
      </c>
      <c r="G94" t="s">
        <v>70</v>
      </c>
      <c r="H94">
        <v>1</v>
      </c>
      <c r="I94" t="s">
        <v>932</v>
      </c>
      <c r="J94" t="s">
        <v>54</v>
      </c>
      <c r="K94" t="s">
        <v>931</v>
      </c>
      <c r="L94" t="s">
        <v>916</v>
      </c>
      <c r="M94" t="s">
        <v>933</v>
      </c>
      <c r="N94" t="s">
        <v>810</v>
      </c>
      <c r="O94" t="s">
        <v>934</v>
      </c>
      <c r="Q94" t="s">
        <v>196</v>
      </c>
      <c r="U94" t="s">
        <v>1020</v>
      </c>
      <c r="Z94" t="s">
        <v>1021</v>
      </c>
      <c r="AA94" t="s">
        <v>1022</v>
      </c>
      <c r="AB94" t="s">
        <v>1170</v>
      </c>
      <c r="AC94" t="s">
        <v>810</v>
      </c>
      <c r="AE94" t="s">
        <v>1171</v>
      </c>
      <c r="AF94">
        <v>500</v>
      </c>
      <c r="AG94" t="s">
        <v>1172</v>
      </c>
      <c r="AR94" t="s">
        <v>1026</v>
      </c>
    </row>
    <row r="95" spans="1:48" x14ac:dyDescent="0.35">
      <c r="A95" t="s">
        <v>50</v>
      </c>
      <c r="B95" t="s">
        <v>804</v>
      </c>
      <c r="E95" t="s">
        <v>1002</v>
      </c>
      <c r="F95" t="s">
        <v>935</v>
      </c>
      <c r="G95" t="s">
        <v>52</v>
      </c>
      <c r="H95">
        <v>1</v>
      </c>
      <c r="I95" t="s">
        <v>936</v>
      </c>
      <c r="J95" t="s">
        <v>54</v>
      </c>
      <c r="K95" t="s">
        <v>935</v>
      </c>
      <c r="L95" t="s">
        <v>916</v>
      </c>
      <c r="M95" t="s">
        <v>937</v>
      </c>
      <c r="N95" t="s">
        <v>810</v>
      </c>
      <c r="O95" t="s">
        <v>938</v>
      </c>
      <c r="Q95" t="s">
        <v>196</v>
      </c>
      <c r="U95" t="s">
        <v>1020</v>
      </c>
      <c r="Z95" t="s">
        <v>1021</v>
      </c>
      <c r="AA95" t="s">
        <v>1022</v>
      </c>
      <c r="AB95" t="s">
        <v>1173</v>
      </c>
      <c r="AC95" t="s">
        <v>810</v>
      </c>
      <c r="AE95" t="s">
        <v>1174</v>
      </c>
      <c r="AF95">
        <v>1170</v>
      </c>
      <c r="AG95" t="s">
        <v>1175</v>
      </c>
      <c r="AR95" t="s">
        <v>1026</v>
      </c>
    </row>
    <row r="96" spans="1:48" x14ac:dyDescent="0.35">
      <c r="A96" t="s">
        <v>50</v>
      </c>
      <c r="B96" t="s">
        <v>804</v>
      </c>
      <c r="E96" t="s">
        <v>1003</v>
      </c>
      <c r="F96" t="s">
        <v>939</v>
      </c>
      <c r="G96" t="s">
        <v>70</v>
      </c>
      <c r="H96">
        <v>1</v>
      </c>
      <c r="I96" t="s">
        <v>940</v>
      </c>
      <c r="J96" t="s">
        <v>54</v>
      </c>
      <c r="K96" t="s">
        <v>1012</v>
      </c>
      <c r="L96" t="s">
        <v>941</v>
      </c>
      <c r="M96" t="s">
        <v>942</v>
      </c>
      <c r="N96" t="s">
        <v>810</v>
      </c>
      <c r="O96" t="s">
        <v>943</v>
      </c>
      <c r="Q96" t="s">
        <v>196</v>
      </c>
      <c r="U96" t="s">
        <v>1020</v>
      </c>
      <c r="Z96" t="s">
        <v>1021</v>
      </c>
      <c r="AA96" t="s">
        <v>1022</v>
      </c>
      <c r="AB96" t="s">
        <v>1176</v>
      </c>
      <c r="AC96" t="s">
        <v>810</v>
      </c>
      <c r="AE96" t="s">
        <v>1177</v>
      </c>
      <c r="AF96">
        <v>600</v>
      </c>
      <c r="AG96" t="s">
        <v>1178</v>
      </c>
      <c r="AR96" t="s">
        <v>1026</v>
      </c>
    </row>
    <row r="97" spans="1:44" x14ac:dyDescent="0.35">
      <c r="A97" t="s">
        <v>50</v>
      </c>
      <c r="B97" t="s">
        <v>804</v>
      </c>
      <c r="E97" t="s">
        <v>1004</v>
      </c>
      <c r="F97" t="s">
        <v>944</v>
      </c>
      <c r="G97" t="s">
        <v>52</v>
      </c>
      <c r="H97">
        <v>1</v>
      </c>
      <c r="I97" t="s">
        <v>945</v>
      </c>
      <c r="J97" t="s">
        <v>54</v>
      </c>
      <c r="K97" t="s">
        <v>944</v>
      </c>
      <c r="L97" t="s">
        <v>941</v>
      </c>
      <c r="M97" t="s">
        <v>946</v>
      </c>
      <c r="N97" t="s">
        <v>810</v>
      </c>
      <c r="O97" t="s">
        <v>947</v>
      </c>
      <c r="Q97" t="s">
        <v>196</v>
      </c>
      <c r="U97" t="s">
        <v>1020</v>
      </c>
      <c r="Z97" t="s">
        <v>1021</v>
      </c>
      <c r="AA97" t="s">
        <v>1022</v>
      </c>
      <c r="AB97" t="s">
        <v>1179</v>
      </c>
      <c r="AC97" t="s">
        <v>810</v>
      </c>
      <c r="AE97" t="s">
        <v>1177</v>
      </c>
      <c r="AF97">
        <v>4000</v>
      </c>
      <c r="AG97" t="s">
        <v>1180</v>
      </c>
      <c r="AR97" t="s">
        <v>1026</v>
      </c>
    </row>
    <row r="98" spans="1:44" x14ac:dyDescent="0.35">
      <c r="A98" t="s">
        <v>50</v>
      </c>
      <c r="B98" t="s">
        <v>804</v>
      </c>
      <c r="E98" t="s">
        <v>1005</v>
      </c>
      <c r="F98" t="s">
        <v>948</v>
      </c>
      <c r="G98" t="s">
        <v>305</v>
      </c>
      <c r="H98">
        <v>1</v>
      </c>
      <c r="I98" t="s">
        <v>949</v>
      </c>
      <c r="J98" t="s">
        <v>54</v>
      </c>
      <c r="K98" t="s">
        <v>948</v>
      </c>
      <c r="L98" t="s">
        <v>941</v>
      </c>
      <c r="M98" t="s">
        <v>950</v>
      </c>
      <c r="N98" t="s">
        <v>810</v>
      </c>
      <c r="O98" t="s">
        <v>951</v>
      </c>
      <c r="Q98" t="s">
        <v>196</v>
      </c>
      <c r="U98" t="s">
        <v>1020</v>
      </c>
      <c r="Z98" t="s">
        <v>1021</v>
      </c>
      <c r="AA98" t="s">
        <v>1022</v>
      </c>
      <c r="AB98" t="s">
        <v>1181</v>
      </c>
      <c r="AC98" t="s">
        <v>810</v>
      </c>
      <c r="AE98" t="s">
        <v>1177</v>
      </c>
      <c r="AF98">
        <v>1000</v>
      </c>
      <c r="AG98" t="s">
        <v>1182</v>
      </c>
      <c r="AR98" t="s">
        <v>1026</v>
      </c>
    </row>
    <row r="99" spans="1:44" x14ac:dyDescent="0.35">
      <c r="A99" t="s">
        <v>50</v>
      </c>
      <c r="B99" t="s">
        <v>804</v>
      </c>
      <c r="E99" t="s">
        <v>1006</v>
      </c>
      <c r="F99" t="s">
        <v>952</v>
      </c>
      <c r="G99" t="s">
        <v>52</v>
      </c>
      <c r="H99">
        <v>1</v>
      </c>
      <c r="I99" t="s">
        <v>953</v>
      </c>
      <c r="J99" t="s">
        <v>54</v>
      </c>
      <c r="K99" t="s">
        <v>952</v>
      </c>
      <c r="L99" t="s">
        <v>941</v>
      </c>
      <c r="M99" t="s">
        <v>954</v>
      </c>
      <c r="N99" t="s">
        <v>810</v>
      </c>
      <c r="O99" t="s">
        <v>955</v>
      </c>
      <c r="Q99" t="s">
        <v>196</v>
      </c>
      <c r="U99" t="s">
        <v>1020</v>
      </c>
      <c r="Z99" t="s">
        <v>1021</v>
      </c>
      <c r="AA99" t="s">
        <v>1022</v>
      </c>
      <c r="AB99" t="s">
        <v>1183</v>
      </c>
      <c r="AC99" t="s">
        <v>810</v>
      </c>
      <c r="AE99" t="s">
        <v>1184</v>
      </c>
      <c r="AF99">
        <v>1550</v>
      </c>
      <c r="AG99" t="s">
        <v>1185</v>
      </c>
      <c r="AR99" t="s">
        <v>1026</v>
      </c>
    </row>
    <row r="100" spans="1:44" x14ac:dyDescent="0.35">
      <c r="A100" t="s">
        <v>50</v>
      </c>
      <c r="B100" t="s">
        <v>804</v>
      </c>
      <c r="E100" t="s">
        <v>1007</v>
      </c>
      <c r="F100" t="s">
        <v>1009</v>
      </c>
      <c r="G100" t="s">
        <v>52</v>
      </c>
      <c r="H100">
        <v>1</v>
      </c>
      <c r="I100" t="s">
        <v>1010</v>
      </c>
      <c r="J100" t="s">
        <v>54</v>
      </c>
      <c r="K100" t="s">
        <v>1013</v>
      </c>
      <c r="L100" t="s">
        <v>941</v>
      </c>
      <c r="M100" t="s">
        <v>956</v>
      </c>
      <c r="N100" t="s">
        <v>810</v>
      </c>
      <c r="O100" t="s">
        <v>957</v>
      </c>
      <c r="Q100" t="s">
        <v>196</v>
      </c>
      <c r="U100" t="s">
        <v>1020</v>
      </c>
      <c r="Z100" t="s">
        <v>1021</v>
      </c>
      <c r="AA100" t="s">
        <v>1022</v>
      </c>
      <c r="AB100" t="s">
        <v>1186</v>
      </c>
      <c r="AC100" t="s">
        <v>810</v>
      </c>
      <c r="AE100" t="s">
        <v>1187</v>
      </c>
      <c r="AF100">
        <v>1600</v>
      </c>
      <c r="AG100" t="s">
        <v>1188</v>
      </c>
      <c r="AR100" t="s">
        <v>1026</v>
      </c>
    </row>
    <row r="101" spans="1:44" x14ac:dyDescent="0.35">
      <c r="A101" t="s">
        <v>50</v>
      </c>
      <c r="B101" t="s">
        <v>804</v>
      </c>
      <c r="E101" t="s">
        <v>1008</v>
      </c>
      <c r="F101" t="s">
        <v>958</v>
      </c>
      <c r="G101" t="s">
        <v>52</v>
      </c>
      <c r="H101">
        <v>1</v>
      </c>
      <c r="I101" t="s">
        <v>959</v>
      </c>
      <c r="J101" t="s">
        <v>54</v>
      </c>
      <c r="K101" t="s">
        <v>1014</v>
      </c>
      <c r="L101" t="s">
        <v>941</v>
      </c>
      <c r="M101" t="s">
        <v>960</v>
      </c>
      <c r="N101" t="s">
        <v>810</v>
      </c>
      <c r="O101" t="s">
        <v>961</v>
      </c>
      <c r="Q101" t="s">
        <v>196</v>
      </c>
      <c r="U101" t="s">
        <v>1020</v>
      </c>
      <c r="Z101" t="s">
        <v>1021</v>
      </c>
      <c r="AA101" t="s">
        <v>1022</v>
      </c>
      <c r="AB101" t="s">
        <v>1189</v>
      </c>
      <c r="AC101" t="s">
        <v>810</v>
      </c>
      <c r="AE101" t="s">
        <v>1190</v>
      </c>
      <c r="AF101">
        <v>92</v>
      </c>
      <c r="AG101" t="s">
        <v>1191</v>
      </c>
      <c r="AR101" t="s">
        <v>1026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42EB6-033C-42BF-9E1D-DED894C3BFBF}">
  <dimension ref="A1:J10"/>
  <sheetViews>
    <sheetView workbookViewId="0">
      <selection activeCell="J11" sqref="J11"/>
    </sheetView>
  </sheetViews>
  <sheetFormatPr defaultRowHeight="14.5" x14ac:dyDescent="0.35"/>
  <cols>
    <col min="1" max="1" width="20.81640625" bestFit="1" customWidth="1"/>
    <col min="2" max="2" width="14.54296875" bestFit="1" customWidth="1"/>
    <col min="3" max="3" width="22.453125" bestFit="1" customWidth="1"/>
    <col min="4" max="4" width="5" bestFit="1" customWidth="1"/>
    <col min="5" max="5" width="23.81640625" bestFit="1" customWidth="1"/>
    <col min="6" max="6" width="13.453125" bestFit="1" customWidth="1"/>
    <col min="7" max="7" width="11.54296875" bestFit="1" customWidth="1"/>
    <col min="8" max="8" width="21.54296875" bestFit="1" customWidth="1"/>
    <col min="9" max="9" width="11.1796875" bestFit="1" customWidth="1"/>
    <col min="10" max="10" width="64.1796875" bestFit="1" customWidth="1"/>
  </cols>
  <sheetData>
    <row r="1" spans="1:10" x14ac:dyDescent="0.35">
      <c r="A1" t="s">
        <v>687</v>
      </c>
      <c r="B1" t="s">
        <v>688</v>
      </c>
      <c r="C1" t="s">
        <v>689</v>
      </c>
      <c r="D1" t="s">
        <v>690</v>
      </c>
      <c r="E1" t="s">
        <v>8</v>
      </c>
      <c r="F1" t="s">
        <v>691</v>
      </c>
      <c r="G1" t="s">
        <v>692</v>
      </c>
      <c r="H1" t="s">
        <v>693</v>
      </c>
      <c r="I1" t="s">
        <v>694</v>
      </c>
      <c r="J1" t="s">
        <v>695</v>
      </c>
    </row>
    <row r="2" spans="1:10" x14ac:dyDescent="0.35">
      <c r="A2" t="s">
        <v>696</v>
      </c>
      <c r="B2" t="s">
        <v>697</v>
      </c>
      <c r="C2" t="s">
        <v>783</v>
      </c>
      <c r="D2">
        <v>1</v>
      </c>
      <c r="E2" t="s">
        <v>698</v>
      </c>
      <c r="F2">
        <v>2</v>
      </c>
      <c r="G2">
        <v>1.25</v>
      </c>
      <c r="H2" t="s">
        <v>699</v>
      </c>
      <c r="I2">
        <v>16</v>
      </c>
      <c r="J2" t="s">
        <v>777</v>
      </c>
    </row>
    <row r="3" spans="1:10" x14ac:dyDescent="0.35">
      <c r="A3" t="s">
        <v>700</v>
      </c>
      <c r="B3" t="s">
        <v>697</v>
      </c>
      <c r="C3" t="s">
        <v>784</v>
      </c>
      <c r="D3">
        <v>2</v>
      </c>
      <c r="E3" t="s">
        <v>701</v>
      </c>
      <c r="F3">
        <v>3</v>
      </c>
      <c r="G3">
        <v>1.5</v>
      </c>
      <c r="H3" t="s">
        <v>699</v>
      </c>
      <c r="I3">
        <v>10</v>
      </c>
      <c r="J3" t="s">
        <v>702</v>
      </c>
    </row>
    <row r="4" spans="1:10" x14ac:dyDescent="0.35">
      <c r="A4" t="s">
        <v>703</v>
      </c>
      <c r="B4" t="s">
        <v>697</v>
      </c>
      <c r="C4" t="s">
        <v>785</v>
      </c>
      <c r="D4">
        <v>3</v>
      </c>
      <c r="E4" t="s">
        <v>704</v>
      </c>
      <c r="F4">
        <v>4</v>
      </c>
      <c r="G4">
        <v>2</v>
      </c>
      <c r="H4" t="s">
        <v>699</v>
      </c>
      <c r="I4">
        <v>4</v>
      </c>
      <c r="J4" t="s">
        <v>778</v>
      </c>
    </row>
    <row r="5" spans="1:10" x14ac:dyDescent="0.35">
      <c r="A5" t="s">
        <v>705</v>
      </c>
      <c r="B5" t="s">
        <v>706</v>
      </c>
      <c r="C5" t="s">
        <v>786</v>
      </c>
      <c r="D5">
        <v>1</v>
      </c>
      <c r="E5" t="s">
        <v>707</v>
      </c>
      <c r="F5">
        <v>2</v>
      </c>
      <c r="G5">
        <v>8</v>
      </c>
      <c r="H5" t="s">
        <v>802</v>
      </c>
      <c r="I5">
        <v>16</v>
      </c>
      <c r="J5" t="s">
        <v>779</v>
      </c>
    </row>
    <row r="6" spans="1:10" x14ac:dyDescent="0.35">
      <c r="A6" t="s">
        <v>708</v>
      </c>
      <c r="B6" t="s">
        <v>706</v>
      </c>
      <c r="C6" t="s">
        <v>787</v>
      </c>
      <c r="D6">
        <v>2</v>
      </c>
      <c r="E6" t="s">
        <v>709</v>
      </c>
      <c r="F6">
        <v>3</v>
      </c>
      <c r="G6">
        <v>12</v>
      </c>
      <c r="H6" t="s">
        <v>802</v>
      </c>
      <c r="I6">
        <v>10</v>
      </c>
      <c r="J6" t="s">
        <v>710</v>
      </c>
    </row>
    <row r="7" spans="1:10" x14ac:dyDescent="0.35">
      <c r="A7" t="s">
        <v>711</v>
      </c>
      <c r="B7" t="s">
        <v>706</v>
      </c>
      <c r="C7" t="s">
        <v>788</v>
      </c>
      <c r="D7">
        <v>3</v>
      </c>
      <c r="E7" t="s">
        <v>712</v>
      </c>
      <c r="F7">
        <v>4</v>
      </c>
      <c r="G7">
        <v>18</v>
      </c>
      <c r="H7" t="s">
        <v>802</v>
      </c>
      <c r="I7">
        <v>4</v>
      </c>
      <c r="J7" t="s">
        <v>780</v>
      </c>
    </row>
    <row r="8" spans="1:10" x14ac:dyDescent="0.35">
      <c r="A8" t="s">
        <v>713</v>
      </c>
      <c r="B8" t="s">
        <v>714</v>
      </c>
      <c r="C8" t="s">
        <v>789</v>
      </c>
      <c r="D8">
        <v>1</v>
      </c>
      <c r="E8" t="s">
        <v>715</v>
      </c>
      <c r="F8">
        <v>2</v>
      </c>
      <c r="G8">
        <v>6</v>
      </c>
      <c r="H8" t="s">
        <v>716</v>
      </c>
      <c r="I8">
        <v>16</v>
      </c>
      <c r="J8" t="s">
        <v>781</v>
      </c>
    </row>
    <row r="9" spans="1:10" x14ac:dyDescent="0.35">
      <c r="A9" t="s">
        <v>717</v>
      </c>
      <c r="B9" t="s">
        <v>714</v>
      </c>
      <c r="C9" t="s">
        <v>790</v>
      </c>
      <c r="D9">
        <v>2</v>
      </c>
      <c r="E9" t="s">
        <v>718</v>
      </c>
      <c r="F9">
        <v>3</v>
      </c>
      <c r="G9">
        <v>10</v>
      </c>
      <c r="H9" t="s">
        <v>716</v>
      </c>
      <c r="I9">
        <v>10</v>
      </c>
      <c r="J9" t="s">
        <v>782</v>
      </c>
    </row>
    <row r="10" spans="1:10" x14ac:dyDescent="0.35">
      <c r="A10" t="s">
        <v>719</v>
      </c>
      <c r="B10" t="s">
        <v>714</v>
      </c>
      <c r="C10" t="s">
        <v>791</v>
      </c>
      <c r="D10">
        <v>3</v>
      </c>
      <c r="E10" t="s">
        <v>720</v>
      </c>
      <c r="F10">
        <v>4</v>
      </c>
      <c r="G10">
        <v>15</v>
      </c>
      <c r="H10" t="s">
        <v>716</v>
      </c>
      <c r="I10">
        <v>4</v>
      </c>
      <c r="J10" t="s">
        <v>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B11" sqref="B11"/>
    </sheetView>
  </sheetViews>
  <sheetFormatPr defaultRowHeight="14.5" x14ac:dyDescent="0.35"/>
  <cols>
    <col min="1" max="1" width="23.1796875" bestFit="1" customWidth="1"/>
    <col min="2" max="2" width="14.453125" customWidth="1"/>
    <col min="3" max="3" width="10.7265625" customWidth="1"/>
    <col min="4" max="4" width="24.81640625" bestFit="1" customWidth="1"/>
    <col min="5" max="6" width="14.453125" customWidth="1"/>
    <col min="7" max="7" width="24.81640625" bestFit="1" customWidth="1"/>
    <col min="8" max="8" width="12" bestFit="1" customWidth="1"/>
  </cols>
  <sheetData>
    <row r="1" spans="1:8" x14ac:dyDescent="0.35">
      <c r="A1" t="s">
        <v>611</v>
      </c>
    </row>
    <row r="3" spans="1:8" x14ac:dyDescent="0.35">
      <c r="A3" t="s">
        <v>612</v>
      </c>
      <c r="B3" s="2">
        <v>5</v>
      </c>
      <c r="D3" t="s">
        <v>662</v>
      </c>
    </row>
    <row r="4" spans="1:8" x14ac:dyDescent="0.35">
      <c r="A4" t="s">
        <v>613</v>
      </c>
      <c r="B4" s="2">
        <v>6</v>
      </c>
      <c r="D4" s="1">
        <f>B3*24/B4</f>
        <v>20</v>
      </c>
    </row>
    <row r="6" spans="1:8" x14ac:dyDescent="0.35">
      <c r="A6" t="s">
        <v>646</v>
      </c>
      <c r="B6" s="1">
        <f>B3*24/B4-SUM(B7:B10)</f>
        <v>9.8571428571428577</v>
      </c>
    </row>
    <row r="7" spans="1:8" x14ac:dyDescent="0.35">
      <c r="A7" t="s">
        <v>647</v>
      </c>
      <c r="B7" s="2">
        <v>6</v>
      </c>
    </row>
    <row r="8" spans="1:8" x14ac:dyDescent="0.35">
      <c r="A8" t="s">
        <v>648</v>
      </c>
      <c r="B8" s="2">
        <v>3</v>
      </c>
    </row>
    <row r="9" spans="1:8" x14ac:dyDescent="0.35">
      <c r="A9" t="s">
        <v>649</v>
      </c>
      <c r="B9" s="2">
        <v>1</v>
      </c>
    </row>
    <row r="10" spans="1:8" x14ac:dyDescent="0.35">
      <c r="A10" t="s">
        <v>795</v>
      </c>
      <c r="B10" s="2">
        <f>1/7</f>
        <v>0.14285714285714285</v>
      </c>
      <c r="D10" t="s">
        <v>792</v>
      </c>
    </row>
    <row r="11" spans="1:8" x14ac:dyDescent="0.35">
      <c r="A11" t="s">
        <v>794</v>
      </c>
      <c r="B11" s="1">
        <f>D4-B12</f>
        <v>18</v>
      </c>
      <c r="D11" s="2">
        <v>10</v>
      </c>
    </row>
    <row r="12" spans="1:8" x14ac:dyDescent="0.35">
      <c r="A12" t="s">
        <v>793</v>
      </c>
      <c r="B12" s="1">
        <f>D11*D4/100</f>
        <v>2</v>
      </c>
    </row>
    <row r="14" spans="1:8" x14ac:dyDescent="0.35">
      <c r="A14" t="s">
        <v>650</v>
      </c>
      <c r="B14" s="1">
        <f>$D$4*E14/100</f>
        <v>10</v>
      </c>
      <c r="D14" t="s">
        <v>683</v>
      </c>
      <c r="E14" s="1">
        <f>100-SUM(E15:E17)</f>
        <v>50</v>
      </c>
      <c r="G14" t="s">
        <v>657</v>
      </c>
      <c r="H14" s="1">
        <f>1/(B14*$D$11/100)</f>
        <v>1</v>
      </c>
    </row>
    <row r="15" spans="1:8" x14ac:dyDescent="0.35">
      <c r="A15" t="s">
        <v>651</v>
      </c>
      <c r="B15" s="1">
        <f t="shared" ref="B15:B17" si="0">$D$4*E15/100</f>
        <v>6</v>
      </c>
      <c r="D15" t="s">
        <v>684</v>
      </c>
      <c r="E15" s="2">
        <v>30</v>
      </c>
      <c r="G15" t="s">
        <v>656</v>
      </c>
      <c r="H15" s="1">
        <f>1/(B15*$D$11/100)</f>
        <v>1.6666666666666667</v>
      </c>
    </row>
    <row r="16" spans="1:8" x14ac:dyDescent="0.35">
      <c r="A16" t="s">
        <v>652</v>
      </c>
      <c r="B16" s="1">
        <f t="shared" si="0"/>
        <v>3</v>
      </c>
      <c r="D16" t="s">
        <v>685</v>
      </c>
      <c r="E16" s="2">
        <v>15</v>
      </c>
      <c r="G16" t="s">
        <v>655</v>
      </c>
      <c r="H16" s="1">
        <f>1/(B16*$D$11/100)</f>
        <v>3.3333333333333335</v>
      </c>
    </row>
    <row r="17" spans="1:8" x14ac:dyDescent="0.35">
      <c r="A17" t="s">
        <v>653</v>
      </c>
      <c r="B17" s="1">
        <f t="shared" si="0"/>
        <v>1</v>
      </c>
      <c r="D17" t="s">
        <v>686</v>
      </c>
      <c r="E17" s="2">
        <v>5</v>
      </c>
      <c r="G17" t="s">
        <v>654</v>
      </c>
      <c r="H17" s="1">
        <f>1/(B17*$D$11/100)</f>
        <v>10</v>
      </c>
    </row>
    <row r="19" spans="1:8" x14ac:dyDescent="0.35">
      <c r="A19" t="s">
        <v>721</v>
      </c>
      <c r="B19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1"/>
  <sheetViews>
    <sheetView workbookViewId="0">
      <selection activeCell="I11" sqref="I11"/>
    </sheetView>
  </sheetViews>
  <sheetFormatPr defaultRowHeight="14.5" x14ac:dyDescent="0.35"/>
  <cols>
    <col min="1" max="1" width="20.453125" bestFit="1" customWidth="1"/>
    <col min="2" max="2" width="28" bestFit="1" customWidth="1"/>
    <col min="3" max="3" width="31.1796875" bestFit="1" customWidth="1"/>
    <col min="4" max="4" width="16.54296875" bestFit="1" customWidth="1"/>
    <col min="5" max="5" width="21" bestFit="1" customWidth="1"/>
    <col min="6" max="6" width="22.1796875" bestFit="1" customWidth="1"/>
    <col min="7" max="7" width="16.81640625" bestFit="1" customWidth="1"/>
    <col min="8" max="8" width="15.81640625" bestFit="1" customWidth="1"/>
    <col min="9" max="9" width="8.1796875" bestFit="1" customWidth="1"/>
    <col min="10" max="10" width="12.453125" bestFit="1" customWidth="1"/>
    <col min="11" max="11" width="7.26953125" bestFit="1" customWidth="1"/>
    <col min="12" max="12" width="12.81640625" bestFit="1" customWidth="1"/>
    <col min="13" max="13" width="8.81640625" bestFit="1" customWidth="1"/>
    <col min="14" max="14" width="14.54296875" bestFit="1" customWidth="1"/>
    <col min="15" max="15" width="8.453125" bestFit="1" customWidth="1"/>
    <col min="16" max="16" width="14.1796875" bestFit="1" customWidth="1"/>
    <col min="17" max="17" width="7.81640625" bestFit="1" customWidth="1"/>
    <col min="18" max="18" width="13.54296875" bestFit="1" customWidth="1"/>
    <col min="19" max="19" width="12" bestFit="1" customWidth="1"/>
  </cols>
  <sheetData>
    <row r="1" spans="1:8" x14ac:dyDescent="0.35">
      <c r="A1" t="s">
        <v>614</v>
      </c>
    </row>
    <row r="2" spans="1:8" x14ac:dyDescent="0.35">
      <c r="A2" t="s">
        <v>9</v>
      </c>
      <c r="B2" t="s">
        <v>615</v>
      </c>
      <c r="C2" t="s">
        <v>616</v>
      </c>
      <c r="D2" t="s">
        <v>617</v>
      </c>
      <c r="E2" t="s">
        <v>618</v>
      </c>
      <c r="F2" t="s">
        <v>619</v>
      </c>
      <c r="G2" t="s">
        <v>620</v>
      </c>
      <c r="H2" t="s">
        <v>621</v>
      </c>
    </row>
    <row r="3" spans="1:8" x14ac:dyDescent="0.35">
      <c r="A3" t="s">
        <v>54</v>
      </c>
      <c r="B3" t="s">
        <v>622</v>
      </c>
      <c r="C3" t="s">
        <v>623</v>
      </c>
      <c r="D3" t="s">
        <v>624</v>
      </c>
      <c r="E3">
        <f>Donnees!B6</f>
        <v>9.8571428571428577</v>
      </c>
      <c r="F3">
        <f>E3/SUMPRODUCT($E$3:$E$7)</f>
        <v>0.49285714285714288</v>
      </c>
      <c r="G3">
        <f>1/(F3*Donnees!$B$3)</f>
        <v>0.40579710144927533</v>
      </c>
      <c r="H3">
        <f>1/(1/G3*24/Donnees!$B$4)</f>
        <v>0.10144927536231883</v>
      </c>
    </row>
    <row r="4" spans="1:8" x14ac:dyDescent="0.35">
      <c r="A4" t="s">
        <v>54</v>
      </c>
      <c r="B4" t="s">
        <v>622</v>
      </c>
      <c r="C4" t="s">
        <v>625</v>
      </c>
      <c r="D4" t="s">
        <v>626</v>
      </c>
      <c r="E4">
        <f>Donnees!B7</f>
        <v>6</v>
      </c>
      <c r="F4">
        <f t="shared" ref="F4:F7" si="0">E4/SUMPRODUCT($E$3:$E$7)</f>
        <v>0.3</v>
      </c>
      <c r="G4">
        <f>1/(F4*Donnees!$B$3)</f>
        <v>0.66666666666666663</v>
      </c>
      <c r="H4">
        <f>1/(1/G4*24/Donnees!$B$4)</f>
        <v>0.16666666666666666</v>
      </c>
    </row>
    <row r="5" spans="1:8" x14ac:dyDescent="0.35">
      <c r="A5" t="s">
        <v>54</v>
      </c>
      <c r="B5" t="s">
        <v>622</v>
      </c>
      <c r="C5" t="s">
        <v>627</v>
      </c>
      <c r="D5" t="s">
        <v>628</v>
      </c>
      <c r="E5">
        <f>Donnees!B8</f>
        <v>3</v>
      </c>
      <c r="F5">
        <f t="shared" si="0"/>
        <v>0.15</v>
      </c>
      <c r="G5">
        <f>1/(F5*Donnees!$B$3)</f>
        <v>1.3333333333333333</v>
      </c>
      <c r="H5">
        <f>1/(1/G5*24/Donnees!$B$4)</f>
        <v>0.33333333333333331</v>
      </c>
    </row>
    <row r="6" spans="1:8" x14ac:dyDescent="0.35">
      <c r="A6" t="s">
        <v>54</v>
      </c>
      <c r="B6" t="s">
        <v>622</v>
      </c>
      <c r="C6" t="s">
        <v>629</v>
      </c>
      <c r="D6" t="s">
        <v>630</v>
      </c>
      <c r="E6">
        <f>Donnees!B9</f>
        <v>1</v>
      </c>
      <c r="F6">
        <f t="shared" si="0"/>
        <v>0.05</v>
      </c>
      <c r="G6">
        <f>1/(F6*Donnees!$B$3)</f>
        <v>4</v>
      </c>
      <c r="H6">
        <f>1/(1/G6*24/Donnees!$B$4)</f>
        <v>1</v>
      </c>
    </row>
    <row r="7" spans="1:8" x14ac:dyDescent="0.35">
      <c r="A7" t="s">
        <v>54</v>
      </c>
      <c r="B7" t="s">
        <v>622</v>
      </c>
      <c r="C7" t="s">
        <v>634</v>
      </c>
      <c r="D7" t="s">
        <v>635</v>
      </c>
      <c r="E7">
        <f>Donnees!B10</f>
        <v>0.14285714285714285</v>
      </c>
      <c r="F7">
        <f t="shared" si="0"/>
        <v>7.1428571428571426E-3</v>
      </c>
      <c r="G7">
        <f>1/(F7*Donnees!$B$3)</f>
        <v>28</v>
      </c>
      <c r="H7">
        <f>1/(1/G7*24/Donnees!$B$4)</f>
        <v>7</v>
      </c>
    </row>
    <row r="8" spans="1:8" x14ac:dyDescent="0.35">
      <c r="A8" t="s">
        <v>54</v>
      </c>
      <c r="B8" t="s">
        <v>631</v>
      </c>
      <c r="C8" t="s">
        <v>632</v>
      </c>
      <c r="D8" t="s">
        <v>633</v>
      </c>
      <c r="E8">
        <f>Donnees!B11</f>
        <v>18</v>
      </c>
      <c r="F8">
        <f>E8/SUMPRODUCT(E$8:E$9)</f>
        <v>0.9</v>
      </c>
      <c r="G8">
        <f>F8*Donnees!$B$3</f>
        <v>4.5</v>
      </c>
      <c r="H8">
        <f>G8*24/Donnees!$B$4</f>
        <v>18</v>
      </c>
    </row>
    <row r="9" spans="1:8" x14ac:dyDescent="0.35">
      <c r="A9" t="s">
        <v>54</v>
      </c>
      <c r="B9" t="s">
        <v>631</v>
      </c>
      <c r="C9" t="s">
        <v>634</v>
      </c>
      <c r="D9" t="s">
        <v>635</v>
      </c>
      <c r="E9">
        <f>Donnees!B12</f>
        <v>2</v>
      </c>
      <c r="F9">
        <f>E9/SUMPRODUCT(E$8:E$9)</f>
        <v>0.1</v>
      </c>
      <c r="G9">
        <f>F9*Donnees!$B$3</f>
        <v>0.5</v>
      </c>
      <c r="H9">
        <f>G9*24/Donnees!$B$4</f>
        <v>2</v>
      </c>
    </row>
    <row r="11" spans="1:8" x14ac:dyDescent="0.35">
      <c r="A11" t="s">
        <v>636</v>
      </c>
    </row>
    <row r="12" spans="1:8" x14ac:dyDescent="0.35">
      <c r="A12" t="s">
        <v>6</v>
      </c>
      <c r="B12" t="s">
        <v>637</v>
      </c>
      <c r="C12" t="s">
        <v>638</v>
      </c>
      <c r="D12" t="s">
        <v>639</v>
      </c>
      <c r="E12" t="s">
        <v>640</v>
      </c>
      <c r="F12" t="s">
        <v>642</v>
      </c>
    </row>
    <row r="13" spans="1:8" x14ac:dyDescent="0.35">
      <c r="A13" t="s">
        <v>52</v>
      </c>
      <c r="B13" cm="1">
        <f t="array" ref="B13">SUMPRODUCT(--(Table1[rowType]="card"),--(Table1[rarityLabel]=A13))</f>
        <v>48</v>
      </c>
      <c r="C13" cm="1">
        <f t="array" ref="C13">SUMPRODUCT((Table1[rowType]="card")*(Table1[rarityLabel]=A13)*(Table1[cardRarityMultiplier]))*Donnees!B14</f>
        <v>480</v>
      </c>
      <c r="D13">
        <f>Donnees!E14/100</f>
        <v>0.5</v>
      </c>
      <c r="E13">
        <f>D13/B13</f>
        <v>1.0416666666666666E-2</v>
      </c>
      <c r="F13">
        <f>Donnees!$D$4*E13*B13</f>
        <v>10</v>
      </c>
    </row>
    <row r="14" spans="1:8" x14ac:dyDescent="0.35">
      <c r="A14" t="s">
        <v>70</v>
      </c>
      <c r="B14" cm="1">
        <f t="array" ref="B14">SUMPRODUCT(--(Table1[rowType]="card"),--(Table1[rarityLabel]=A14))</f>
        <v>25</v>
      </c>
      <c r="C14" cm="1">
        <f t="array" ref="C14">SUMPRODUCT((Table1[rowType]="card")*(Table1[rarityLabel]=A14)*(Table1[cardRarityMultiplier]))*Donnees!B15</f>
        <v>150</v>
      </c>
      <c r="D14">
        <f>Donnees!E15/100</f>
        <v>0.3</v>
      </c>
      <c r="E14">
        <f t="shared" ref="E14:E16" si="1">D14/B14</f>
        <v>1.2E-2</v>
      </c>
      <c r="F14">
        <f>Donnees!$D$4*E14*B14</f>
        <v>6</v>
      </c>
    </row>
    <row r="15" spans="1:8" x14ac:dyDescent="0.35">
      <c r="A15" t="s">
        <v>305</v>
      </c>
      <c r="B15" cm="1">
        <f t="array" ref="B15">SUMPRODUCT(--(Table1[rowType]="card"),--(Table1[rarityLabel]=A15))</f>
        <v>17</v>
      </c>
      <c r="C15" cm="1">
        <f t="array" ref="C15">SUMPRODUCT((Table1[rowType]="card")*(Table1[rarityLabel]=A15)*(Table1[cardRarityMultiplier]))*Donnees!B16</f>
        <v>51</v>
      </c>
      <c r="D15">
        <f>Donnees!E16/100</f>
        <v>0.15</v>
      </c>
      <c r="E15">
        <f t="shared" si="1"/>
        <v>8.8235294117647058E-3</v>
      </c>
      <c r="F15">
        <f>Donnees!$D$4*E15*B15</f>
        <v>2.9999999999999996</v>
      </c>
    </row>
    <row r="16" spans="1:8" x14ac:dyDescent="0.35">
      <c r="A16" t="s">
        <v>128</v>
      </c>
      <c r="B16" cm="1">
        <f t="array" ref="B16">SUMPRODUCT(--(Table1[rowType]="card"),--(Table1[rarityLabel]=A16))</f>
        <v>8</v>
      </c>
      <c r="C16" cm="1">
        <f t="array" ref="C16">SUMPRODUCT((Table1[rowType]="card")*(Table1[rarityLabel]=A16)*(Table1[cardRarityMultiplier]))*Donnees!B17</f>
        <v>8</v>
      </c>
      <c r="D16">
        <f>Donnees!E17/100</f>
        <v>0.05</v>
      </c>
      <c r="E16">
        <f t="shared" si="1"/>
        <v>6.2500000000000003E-3</v>
      </c>
      <c r="F16">
        <f>Donnees!$D$4*E16*B16</f>
        <v>1</v>
      </c>
    </row>
    <row r="18" spans="1:18" x14ac:dyDescent="0.35">
      <c r="A18" t="s">
        <v>641</v>
      </c>
    </row>
    <row r="19" spans="1:18" x14ac:dyDescent="0.35">
      <c r="A19" t="s">
        <v>1</v>
      </c>
      <c r="B19" t="s">
        <v>4</v>
      </c>
      <c r="C19" t="s">
        <v>5</v>
      </c>
      <c r="D19" t="s">
        <v>6</v>
      </c>
      <c r="E19" t="s">
        <v>644</v>
      </c>
      <c r="F19" t="s">
        <v>645</v>
      </c>
      <c r="G19" t="s">
        <v>643</v>
      </c>
      <c r="H19" t="s">
        <v>621</v>
      </c>
      <c r="I19" s="7" t="s">
        <v>658</v>
      </c>
      <c r="J19" s="7" t="s">
        <v>796</v>
      </c>
      <c r="K19" s="9" t="s">
        <v>659</v>
      </c>
      <c r="L19" s="9" t="s">
        <v>797</v>
      </c>
      <c r="M19" s="11" t="s">
        <v>660</v>
      </c>
      <c r="N19" s="11" t="s">
        <v>798</v>
      </c>
      <c r="O19" s="5" t="s">
        <v>661</v>
      </c>
      <c r="P19" s="5" t="s">
        <v>799</v>
      </c>
      <c r="Q19" s="16" t="s">
        <v>800</v>
      </c>
      <c r="R19" s="16" t="s">
        <v>801</v>
      </c>
    </row>
    <row r="20" spans="1:18" x14ac:dyDescent="0.35">
      <c r="A20" t="s">
        <v>47</v>
      </c>
      <c r="B20" t="s">
        <v>51</v>
      </c>
      <c r="C20" t="s">
        <v>722</v>
      </c>
      <c r="D20" t="s">
        <v>52</v>
      </c>
      <c r="E20" s="3">
        <f>VLOOKUP(D20,$A$13:$F$16,5,FALSE)*_xlfn.XLOOKUP(Resultats!C20,Table1[name],Table1[cardRarityMultiplier])</f>
        <v>1.0416666666666666E-2</v>
      </c>
      <c r="F20" s="3">
        <f t="shared" ref="F20:F51" si="2">E20/$E$118</f>
        <v>1.0483266240429404E-2</v>
      </c>
      <c r="G20" s="3">
        <f>1-POWER(1-E20,Donnees!$D$4)</f>
        <v>0.18895034296044488</v>
      </c>
      <c r="H20" s="3">
        <f t="shared" ref="H20:H51" si="3">1/G20</f>
        <v>5.2923957921015328</v>
      </c>
      <c r="I20" s="8">
        <f>1/(1-POWER(1-$F20*$F$3*$F$8,Donnees!$D$4))</f>
        <v>11.235256894630343</v>
      </c>
      <c r="J20" s="8">
        <f>1/(1-POWER(1-$F20*$F$3*$F$9,Donnees!$D$4))</f>
        <v>97.248442313271994</v>
      </c>
      <c r="K20" s="10">
        <f>1/(1-POWER(1-$F20*$F$4*$F$8,Donnees!$D$4))</f>
        <v>18.144548696683167</v>
      </c>
      <c r="L20" s="10">
        <f>1/(1-POWER(1-$F20*$F$4*$F$9,Donnees!$D$4))</f>
        <v>159.45905234658639</v>
      </c>
      <c r="M20" s="12">
        <f>1/(1-POWER(1-$F20*$F$5*$F$8,Donnees!$D$4))</f>
        <v>35.807027675609113</v>
      </c>
      <c r="N20" s="12">
        <f>1/(1-POWER(1-$F20*$F$5*$F$9,Donnees!$D$4))</f>
        <v>318.4423202704682</v>
      </c>
      <c r="O20" s="6">
        <f>1/(1-POWER(1-$F20*$F$6*$F$8,Donnees!$D$4))</f>
        <v>106.46480407108302</v>
      </c>
      <c r="P20" s="6">
        <f>1/(1-POWER(1-$F20*$F$6*$F$9,Donnees!$D$4))</f>
        <v>954.37626361541584</v>
      </c>
      <c r="Q20" s="16">
        <f>1/(1-POWER(1-$F20*$F$7*$F$8,Donnees!$D$4))</f>
        <v>742.39824929896793</v>
      </c>
      <c r="R20" s="16">
        <f>1/(1-POWER(1-$F20*$F$7*$F$9,Donnees!$D$4))</f>
        <v>6677.7832477698757</v>
      </c>
    </row>
    <row r="21" spans="1:18" x14ac:dyDescent="0.35">
      <c r="A21" t="s">
        <v>47</v>
      </c>
      <c r="B21" t="s">
        <v>68</v>
      </c>
      <c r="C21" t="s">
        <v>69</v>
      </c>
      <c r="D21" t="s">
        <v>70</v>
      </c>
      <c r="E21" s="3">
        <f>VLOOKUP(D21,$A$13:$F$16,5,FALSE)*_xlfn.XLOOKUP(Resultats!C21,Table1[name],Table1[cardRarityMultiplier])</f>
        <v>1.2E-2</v>
      </c>
      <c r="F21" s="3">
        <f t="shared" si="2"/>
        <v>1.2076722708974674E-2</v>
      </c>
      <c r="G21" s="3">
        <f>1-POWER(1-E21,Donnees!$D$4)</f>
        <v>0.21451319895896026</v>
      </c>
      <c r="H21" s="3">
        <f t="shared" si="3"/>
        <v>4.6617178096873921</v>
      </c>
      <c r="I21" s="8">
        <f>1/(1-POWER(1-$F21*$F$3*$F$8,Donnees!$D$4))</f>
        <v>9.8177034242507268</v>
      </c>
      <c r="J21" s="8">
        <f>1/(1-POWER(1-$F21*$F$3*$F$9,Donnees!$D$4))</f>
        <v>84.479968231682932</v>
      </c>
      <c r="K21" s="10">
        <f>1/(1-POWER(1-$F21*$F$4*$F$8,Donnees!$D$4))</f>
        <v>15.814488958922057</v>
      </c>
      <c r="L21" s="10">
        <f>1/(1-POWER(1-$F21*$F$4*$F$9,Donnees!$D$4))</f>
        <v>138.48213838284252</v>
      </c>
      <c r="M21" s="12">
        <f>1/(1-POWER(1-$F21*$F$5*$F$8,Donnees!$D$4))</f>
        <v>31.145831732597358</v>
      </c>
      <c r="N21" s="12">
        <f>1/(1-POWER(1-$F21*$F$5*$F$9,Donnees!$D$4))</f>
        <v>276.48837308590822</v>
      </c>
      <c r="O21" s="6">
        <f>1/(1-POWER(1-$F21*$F$6*$F$8,Donnees!$D$4))</f>
        <v>92.480261032095697</v>
      </c>
      <c r="P21" s="6">
        <f>1/(1-POWER(1-$F21*$F$6*$F$9,Donnees!$D$4))</f>
        <v>828.51431607704581</v>
      </c>
      <c r="Q21" s="16">
        <f>1/(1-POWER(1-$F21*$F$7*$F$8,Donnees!$D$4))</f>
        <v>644.50563016443709</v>
      </c>
      <c r="R21" s="16">
        <f>1/(1-POWER(1-$F21*$F$7*$F$9,Donnees!$D$4))</f>
        <v>5796.7495240968374</v>
      </c>
    </row>
    <row r="22" spans="1:18" x14ac:dyDescent="0.35">
      <c r="A22" t="s">
        <v>47</v>
      </c>
      <c r="B22" t="s">
        <v>82</v>
      </c>
      <c r="C22" t="s">
        <v>83</v>
      </c>
      <c r="D22" t="s">
        <v>70</v>
      </c>
      <c r="E22" s="3">
        <f>VLOOKUP(D22,$A$13:$F$16,5,FALSE)*_xlfn.XLOOKUP(Resultats!C22,Table1[name],Table1[cardRarityMultiplier])</f>
        <v>1.2E-2</v>
      </c>
      <c r="F22" s="3">
        <f t="shared" si="2"/>
        <v>1.2076722708974674E-2</v>
      </c>
      <c r="G22" s="3">
        <f>1-POWER(1-E22,Donnees!$D$4)</f>
        <v>0.21451319895896026</v>
      </c>
      <c r="H22" s="3">
        <f t="shared" si="3"/>
        <v>4.6617178096873921</v>
      </c>
      <c r="I22" s="8">
        <f>1/(1-POWER(1-$F22*$F$3*$F$8,Donnees!$D$4))</f>
        <v>9.8177034242507268</v>
      </c>
      <c r="J22" s="8">
        <f>1/(1-POWER(1-$F22*$F$3*$F$9,Donnees!$D$4))</f>
        <v>84.479968231682932</v>
      </c>
      <c r="K22" s="10">
        <f>1/(1-POWER(1-$F22*$F$4*$F$8,Donnees!$D$4))</f>
        <v>15.814488958922057</v>
      </c>
      <c r="L22" s="10">
        <f>1/(1-POWER(1-$F22*$F$4*$F$9,Donnees!$D$4))</f>
        <v>138.48213838284252</v>
      </c>
      <c r="M22" s="12">
        <f>1/(1-POWER(1-$F22*$F$5*$F$8,Donnees!$D$4))</f>
        <v>31.145831732597358</v>
      </c>
      <c r="N22" s="12">
        <f>1/(1-POWER(1-$F22*$F$5*$F$9,Donnees!$D$4))</f>
        <v>276.48837308590822</v>
      </c>
      <c r="O22" s="6">
        <f>1/(1-POWER(1-$F22*$F$6*$F$8,Donnees!$D$4))</f>
        <v>92.480261032095697</v>
      </c>
      <c r="P22" s="6">
        <f>1/(1-POWER(1-$F22*$F$6*$F$9,Donnees!$D$4))</f>
        <v>828.51431607704581</v>
      </c>
      <c r="Q22" s="16">
        <f>1/(1-POWER(1-$F22*$F$7*$F$8,Donnees!$D$4))</f>
        <v>644.50563016443709</v>
      </c>
      <c r="R22" s="16">
        <f>1/(1-POWER(1-$F22*$F$7*$F$9,Donnees!$D$4))</f>
        <v>5796.7495240968374</v>
      </c>
    </row>
    <row r="23" spans="1:18" x14ac:dyDescent="0.35">
      <c r="A23" t="s">
        <v>47</v>
      </c>
      <c r="B23" t="s">
        <v>93</v>
      </c>
      <c r="C23" t="s">
        <v>726</v>
      </c>
      <c r="D23" t="s">
        <v>52</v>
      </c>
      <c r="E23" s="3">
        <f>VLOOKUP(D23,$A$13:$F$16,5,FALSE)*_xlfn.XLOOKUP(Resultats!C23,Table1[name],Table1[cardRarityMultiplier])</f>
        <v>1.0416666666666666E-2</v>
      </c>
      <c r="F23" s="3">
        <f t="shared" si="2"/>
        <v>1.0483266240429404E-2</v>
      </c>
      <c r="G23" s="3">
        <f>1-POWER(1-E23,Donnees!$D$4)</f>
        <v>0.18895034296044488</v>
      </c>
      <c r="H23" s="3">
        <f t="shared" si="3"/>
        <v>5.2923957921015328</v>
      </c>
      <c r="I23" s="8">
        <f>1/(1-POWER(1-$F23*$F$3*$F$8,Donnees!$D$4))</f>
        <v>11.235256894630343</v>
      </c>
      <c r="J23" s="8">
        <f>1/(1-POWER(1-$F23*$F$3*$F$9,Donnees!$D$4))</f>
        <v>97.248442313271994</v>
      </c>
      <c r="K23" s="10">
        <f>1/(1-POWER(1-$F23*$F$4*$F$8,Donnees!$D$4))</f>
        <v>18.144548696683167</v>
      </c>
      <c r="L23" s="10">
        <f>1/(1-POWER(1-$F23*$F$4*$F$9,Donnees!$D$4))</f>
        <v>159.45905234658639</v>
      </c>
      <c r="M23" s="12">
        <f>1/(1-POWER(1-$F23*$F$5*$F$8,Donnees!$D$4))</f>
        <v>35.807027675609113</v>
      </c>
      <c r="N23" s="12">
        <f>1/(1-POWER(1-$F23*$F$5*$F$9,Donnees!$D$4))</f>
        <v>318.4423202704682</v>
      </c>
      <c r="O23" s="6">
        <f>1/(1-POWER(1-$F23*$F$6*$F$8,Donnees!$D$4))</f>
        <v>106.46480407108302</v>
      </c>
      <c r="P23" s="6">
        <f>1/(1-POWER(1-$F23*$F$6*$F$9,Donnees!$D$4))</f>
        <v>954.37626361541584</v>
      </c>
      <c r="Q23" s="16">
        <f>1/(1-POWER(1-$F23*$F$7*$F$8,Donnees!$D$4))</f>
        <v>742.39824929896793</v>
      </c>
      <c r="R23" s="16">
        <f>1/(1-POWER(1-$F23*$F$7*$F$9,Donnees!$D$4))</f>
        <v>6677.7832477698757</v>
      </c>
    </row>
    <row r="24" spans="1:18" x14ac:dyDescent="0.35">
      <c r="A24" t="s">
        <v>47</v>
      </c>
      <c r="B24" t="s">
        <v>104</v>
      </c>
      <c r="C24" t="s">
        <v>728</v>
      </c>
      <c r="D24" t="s">
        <v>52</v>
      </c>
      <c r="E24" s="3">
        <f>VLOOKUP(D24,$A$13:$F$16,5,FALSE)*_xlfn.XLOOKUP(Resultats!C24,Table1[name],Table1[cardRarityMultiplier])</f>
        <v>1.0416666666666666E-2</v>
      </c>
      <c r="F24" s="3">
        <f t="shared" si="2"/>
        <v>1.0483266240429404E-2</v>
      </c>
      <c r="G24" s="3">
        <f>1-POWER(1-E24,Donnees!$D$4)</f>
        <v>0.18895034296044488</v>
      </c>
      <c r="H24" s="3">
        <f t="shared" si="3"/>
        <v>5.2923957921015328</v>
      </c>
      <c r="I24" s="8">
        <f>1/(1-POWER(1-$F24*$F$3*$F$8,Donnees!$D$4))</f>
        <v>11.235256894630343</v>
      </c>
      <c r="J24" s="8">
        <f>1/(1-POWER(1-$F24*$F$3*$F$9,Donnees!$D$4))</f>
        <v>97.248442313271994</v>
      </c>
      <c r="K24" s="10">
        <f>1/(1-POWER(1-$F24*$F$4*$F$8,Donnees!$D$4))</f>
        <v>18.144548696683167</v>
      </c>
      <c r="L24" s="10">
        <f>1/(1-POWER(1-$F24*$F$4*$F$9,Donnees!$D$4))</f>
        <v>159.45905234658639</v>
      </c>
      <c r="M24" s="12">
        <f>1/(1-POWER(1-$F24*$F$5*$F$8,Donnees!$D$4))</f>
        <v>35.807027675609113</v>
      </c>
      <c r="N24" s="12">
        <f>1/(1-POWER(1-$F24*$F$5*$F$9,Donnees!$D$4))</f>
        <v>318.4423202704682</v>
      </c>
      <c r="O24" s="6">
        <f>1/(1-POWER(1-$F24*$F$6*$F$8,Donnees!$D$4))</f>
        <v>106.46480407108302</v>
      </c>
      <c r="P24" s="6">
        <f>1/(1-POWER(1-$F24*$F$6*$F$9,Donnees!$D$4))</f>
        <v>954.37626361541584</v>
      </c>
      <c r="Q24" s="16">
        <f>1/(1-POWER(1-$F24*$F$7*$F$8,Donnees!$D$4))</f>
        <v>742.39824929896793</v>
      </c>
      <c r="R24" s="16">
        <f>1/(1-POWER(1-$F24*$F$7*$F$9,Donnees!$D$4))</f>
        <v>6677.7832477698757</v>
      </c>
    </row>
    <row r="25" spans="1:18" x14ac:dyDescent="0.35">
      <c r="A25" t="s">
        <v>47</v>
      </c>
      <c r="B25" t="s">
        <v>115</v>
      </c>
      <c r="C25" t="s">
        <v>116</v>
      </c>
      <c r="D25" t="s">
        <v>52</v>
      </c>
      <c r="E25" s="3">
        <f>VLOOKUP(D25,$A$13:$F$16,5,FALSE)*_xlfn.XLOOKUP(Resultats!C25,Table1[name],Table1[cardRarityMultiplier])</f>
        <v>1.0416666666666666E-2</v>
      </c>
      <c r="F25" s="3">
        <f t="shared" si="2"/>
        <v>1.0483266240429404E-2</v>
      </c>
      <c r="G25" s="3">
        <f>1-POWER(1-E25,Donnees!$D$4)</f>
        <v>0.18895034296044488</v>
      </c>
      <c r="H25" s="3">
        <f t="shared" si="3"/>
        <v>5.2923957921015328</v>
      </c>
      <c r="I25" s="8">
        <f>1/(1-POWER(1-$F25*$F$3*$F$8,Donnees!$D$4))</f>
        <v>11.235256894630343</v>
      </c>
      <c r="J25" s="8">
        <f>1/(1-POWER(1-$F25*$F$3*$F$9,Donnees!$D$4))</f>
        <v>97.248442313271994</v>
      </c>
      <c r="K25" s="10">
        <f>1/(1-POWER(1-$F25*$F$4*$F$8,Donnees!$D$4))</f>
        <v>18.144548696683167</v>
      </c>
      <c r="L25" s="10">
        <f>1/(1-POWER(1-$F25*$F$4*$F$9,Donnees!$D$4))</f>
        <v>159.45905234658639</v>
      </c>
      <c r="M25" s="12">
        <f>1/(1-POWER(1-$F25*$F$5*$F$8,Donnees!$D$4))</f>
        <v>35.807027675609113</v>
      </c>
      <c r="N25" s="12">
        <f>1/(1-POWER(1-$F25*$F$5*$F$9,Donnees!$D$4))</f>
        <v>318.4423202704682</v>
      </c>
      <c r="O25" s="6">
        <f>1/(1-POWER(1-$F25*$F$6*$F$8,Donnees!$D$4))</f>
        <v>106.46480407108302</v>
      </c>
      <c r="P25" s="6">
        <f>1/(1-POWER(1-$F25*$F$6*$F$9,Donnees!$D$4))</f>
        <v>954.37626361541584</v>
      </c>
      <c r="Q25" s="16">
        <f>1/(1-POWER(1-$F25*$F$7*$F$8,Donnees!$D$4))</f>
        <v>742.39824929896793</v>
      </c>
      <c r="R25" s="16">
        <f>1/(1-POWER(1-$F25*$F$7*$F$9,Donnees!$D$4))</f>
        <v>6677.7832477698757</v>
      </c>
    </row>
    <row r="26" spans="1:18" x14ac:dyDescent="0.35">
      <c r="A26" t="s">
        <v>47</v>
      </c>
      <c r="B26" t="s">
        <v>127</v>
      </c>
      <c r="C26" t="s">
        <v>731</v>
      </c>
      <c r="D26" t="s">
        <v>128</v>
      </c>
      <c r="E26" s="3">
        <f>VLOOKUP(D26,$A$13:$F$16,5,FALSE)*_xlfn.XLOOKUP(Resultats!C26,Table1[name],Table1[cardRarityMultiplier])</f>
        <v>6.2500000000000003E-3</v>
      </c>
      <c r="F26" s="3">
        <f t="shared" si="2"/>
        <v>6.2899597442576428E-3</v>
      </c>
      <c r="G26" s="3">
        <f>1-POWER(1-E26,Donnees!$D$4)</f>
        <v>0.11784919800517701</v>
      </c>
      <c r="H26" s="3">
        <f t="shared" si="3"/>
        <v>8.4854204943852984</v>
      </c>
      <c r="I26" s="8">
        <f>1/(1-POWER(1-$F26*$F$3*$F$8,Donnees!$D$4))</f>
        <v>18.400493418649408</v>
      </c>
      <c r="J26" s="8">
        <f>1/(1-POWER(1-$F26*$F$3*$F$9,Donnees!$D$4))</f>
        <v>161.76315399679564</v>
      </c>
      <c r="K26" s="10">
        <f>1/(1-POWER(1-$F26*$F$4*$F$8,Donnees!$D$4))</f>
        <v>29.919220086827341</v>
      </c>
      <c r="L26" s="10">
        <f>1/(1-POWER(1-$F26*$F$4*$F$9,Donnees!$D$4))</f>
        <v>265.44786276089866</v>
      </c>
      <c r="M26" s="12">
        <f>1/(1-POWER(1-$F26*$F$5*$F$8,Donnees!$D$4))</f>
        <v>59.359200966760184</v>
      </c>
      <c r="N26" s="12">
        <f>1/(1-POWER(1-$F26*$F$5*$F$9,Donnees!$D$4))</f>
        <v>530.42025490253059</v>
      </c>
      <c r="O26" s="6">
        <f>1/(1-POWER(1-$F26*$F$6*$F$8,Donnees!$D$4))</f>
        <v>177.12383664707096</v>
      </c>
      <c r="P26" s="6">
        <f>1/(1-POWER(1-$F26*$F$6*$F$9,Donnees!$D$4))</f>
        <v>1590.3103464032965</v>
      </c>
      <c r="Q26" s="16">
        <f>1/(1-POWER(1-$F26*$F$7*$F$8,Donnees!$D$4))</f>
        <v>1237.013629317039</v>
      </c>
      <c r="R26" s="16">
        <f>1/(1-POWER(1-$F26*$F$7*$F$9,Donnees!$D$4))</f>
        <v>11129.322066265169</v>
      </c>
    </row>
    <row r="27" spans="1:18" x14ac:dyDescent="0.35">
      <c r="A27" t="s">
        <v>47</v>
      </c>
      <c r="B27" t="s">
        <v>142</v>
      </c>
      <c r="C27" t="s">
        <v>732</v>
      </c>
      <c r="D27" t="s">
        <v>52</v>
      </c>
      <c r="E27" s="3">
        <f>VLOOKUP(D27,$A$13:$F$16,5,FALSE)*_xlfn.XLOOKUP(Resultats!C27,Table1[name],Table1[cardRarityMultiplier])</f>
        <v>1.0416666666666666E-2</v>
      </c>
      <c r="F27" s="3">
        <f t="shared" si="2"/>
        <v>1.0483266240429404E-2</v>
      </c>
      <c r="G27" s="3">
        <f>1-POWER(1-E27,Donnees!$D$4)</f>
        <v>0.18895034296044488</v>
      </c>
      <c r="H27" s="3">
        <f t="shared" si="3"/>
        <v>5.2923957921015328</v>
      </c>
      <c r="I27" s="8">
        <f>1/(1-POWER(1-$F27*$F$3*$F$8,Donnees!$D$4))</f>
        <v>11.235256894630343</v>
      </c>
      <c r="J27" s="8">
        <f>1/(1-POWER(1-$F27*$F$3*$F$9,Donnees!$D$4))</f>
        <v>97.248442313271994</v>
      </c>
      <c r="K27" s="10">
        <f>1/(1-POWER(1-$F27*$F$4*$F$8,Donnees!$D$4))</f>
        <v>18.144548696683167</v>
      </c>
      <c r="L27" s="10">
        <f>1/(1-POWER(1-$F27*$F$4*$F$9,Donnees!$D$4))</f>
        <v>159.45905234658639</v>
      </c>
      <c r="M27" s="12">
        <f>1/(1-POWER(1-$F27*$F$5*$F$8,Donnees!$D$4))</f>
        <v>35.807027675609113</v>
      </c>
      <c r="N27" s="12">
        <f>1/(1-POWER(1-$F27*$F$5*$F$9,Donnees!$D$4))</f>
        <v>318.4423202704682</v>
      </c>
      <c r="O27" s="6">
        <f>1/(1-POWER(1-$F27*$F$6*$F$8,Donnees!$D$4))</f>
        <v>106.46480407108302</v>
      </c>
      <c r="P27" s="6">
        <f>1/(1-POWER(1-$F27*$F$6*$F$9,Donnees!$D$4))</f>
        <v>954.37626361541584</v>
      </c>
      <c r="Q27" s="16">
        <f>1/(1-POWER(1-$F27*$F$7*$F$8,Donnees!$D$4))</f>
        <v>742.39824929896793</v>
      </c>
      <c r="R27" s="16">
        <f>1/(1-POWER(1-$F27*$F$7*$F$9,Donnees!$D$4))</f>
        <v>6677.7832477698757</v>
      </c>
    </row>
    <row r="28" spans="1:18" x14ac:dyDescent="0.35">
      <c r="A28" t="s">
        <v>47</v>
      </c>
      <c r="B28" t="s">
        <v>154</v>
      </c>
      <c r="C28" t="s">
        <v>155</v>
      </c>
      <c r="D28" t="s">
        <v>52</v>
      </c>
      <c r="E28" s="3">
        <f>VLOOKUP(D28,$A$13:$F$16,5,FALSE)*_xlfn.XLOOKUP(Resultats!C28,Table1[name],Table1[cardRarityMultiplier])</f>
        <v>1.0416666666666666E-2</v>
      </c>
      <c r="F28" s="3">
        <f t="shared" si="2"/>
        <v>1.0483266240429404E-2</v>
      </c>
      <c r="G28" s="3">
        <f>1-POWER(1-E28,Donnees!$D$4)</f>
        <v>0.18895034296044488</v>
      </c>
      <c r="H28" s="3">
        <f t="shared" si="3"/>
        <v>5.2923957921015328</v>
      </c>
      <c r="I28" s="8">
        <f>1/(1-POWER(1-$F28*$F$3*$F$8,Donnees!$D$4))</f>
        <v>11.235256894630343</v>
      </c>
      <c r="J28" s="8">
        <f>1/(1-POWER(1-$F28*$F$3*$F$9,Donnees!$D$4))</f>
        <v>97.248442313271994</v>
      </c>
      <c r="K28" s="10">
        <f>1/(1-POWER(1-$F28*$F$4*$F$8,Donnees!$D$4))</f>
        <v>18.144548696683167</v>
      </c>
      <c r="L28" s="10">
        <f>1/(1-POWER(1-$F28*$F$4*$F$9,Donnees!$D$4))</f>
        <v>159.45905234658639</v>
      </c>
      <c r="M28" s="12">
        <f>1/(1-POWER(1-$F28*$F$5*$F$8,Donnees!$D$4))</f>
        <v>35.807027675609113</v>
      </c>
      <c r="N28" s="12">
        <f>1/(1-POWER(1-$F28*$F$5*$F$9,Donnees!$D$4))</f>
        <v>318.4423202704682</v>
      </c>
      <c r="O28" s="6">
        <f>1/(1-POWER(1-$F28*$F$6*$F$8,Donnees!$D$4))</f>
        <v>106.46480407108302</v>
      </c>
      <c r="P28" s="6">
        <f>1/(1-POWER(1-$F28*$F$6*$F$9,Donnees!$D$4))</f>
        <v>954.37626361541584</v>
      </c>
      <c r="Q28" s="16">
        <f>1/(1-POWER(1-$F28*$F$7*$F$8,Donnees!$D$4))</f>
        <v>742.39824929896793</v>
      </c>
      <c r="R28" s="16">
        <f>1/(1-POWER(1-$F28*$F$7*$F$9,Donnees!$D$4))</f>
        <v>6677.7832477698757</v>
      </c>
    </row>
    <row r="29" spans="1:18" x14ac:dyDescent="0.35">
      <c r="A29" t="s">
        <v>47</v>
      </c>
      <c r="B29" t="s">
        <v>166</v>
      </c>
      <c r="C29" t="s">
        <v>735</v>
      </c>
      <c r="D29" t="s">
        <v>52</v>
      </c>
      <c r="E29" s="3">
        <f>VLOOKUP(D29,$A$13:$F$16,5,FALSE)*_xlfn.XLOOKUP(Resultats!C29,Table1[name],Table1[cardRarityMultiplier])</f>
        <v>1.0416666666666666E-2</v>
      </c>
      <c r="F29" s="3">
        <f t="shared" si="2"/>
        <v>1.0483266240429404E-2</v>
      </c>
      <c r="G29" s="3">
        <f>1-POWER(1-E29,Donnees!$D$4)</f>
        <v>0.18895034296044488</v>
      </c>
      <c r="H29" s="3">
        <f t="shared" si="3"/>
        <v>5.2923957921015328</v>
      </c>
      <c r="I29" s="8">
        <f>1/(1-POWER(1-$F29*$F$3*$F$8,Donnees!$D$4))</f>
        <v>11.235256894630343</v>
      </c>
      <c r="J29" s="8">
        <f>1/(1-POWER(1-$F29*$F$3*$F$9,Donnees!$D$4))</f>
        <v>97.248442313271994</v>
      </c>
      <c r="K29" s="10">
        <f>1/(1-POWER(1-$F29*$F$4*$F$8,Donnees!$D$4))</f>
        <v>18.144548696683167</v>
      </c>
      <c r="L29" s="10">
        <f>1/(1-POWER(1-$F29*$F$4*$F$9,Donnees!$D$4))</f>
        <v>159.45905234658639</v>
      </c>
      <c r="M29" s="12">
        <f>1/(1-POWER(1-$F29*$F$5*$F$8,Donnees!$D$4))</f>
        <v>35.807027675609113</v>
      </c>
      <c r="N29" s="12">
        <f>1/(1-POWER(1-$F29*$F$5*$F$9,Donnees!$D$4))</f>
        <v>318.4423202704682</v>
      </c>
      <c r="O29" s="6">
        <f>1/(1-POWER(1-$F29*$F$6*$F$8,Donnees!$D$4))</f>
        <v>106.46480407108302</v>
      </c>
      <c r="P29" s="6">
        <f>1/(1-POWER(1-$F29*$F$6*$F$9,Donnees!$D$4))</f>
        <v>954.37626361541584</v>
      </c>
      <c r="Q29" s="16">
        <f>1/(1-POWER(1-$F29*$F$7*$F$8,Donnees!$D$4))</f>
        <v>742.39824929896793</v>
      </c>
      <c r="R29" s="16">
        <f>1/(1-POWER(1-$F29*$F$7*$F$9,Donnees!$D$4))</f>
        <v>6677.7832477698757</v>
      </c>
    </row>
    <row r="30" spans="1:18" x14ac:dyDescent="0.35">
      <c r="A30" t="s">
        <v>47</v>
      </c>
      <c r="B30" t="s">
        <v>175</v>
      </c>
      <c r="C30" t="s">
        <v>176</v>
      </c>
      <c r="D30" t="s">
        <v>70</v>
      </c>
      <c r="E30" s="3">
        <f>VLOOKUP(D30,$A$13:$F$16,5,FALSE)*_xlfn.XLOOKUP(Resultats!C30,Table1[name],Table1[cardRarityMultiplier])</f>
        <v>1.2E-2</v>
      </c>
      <c r="F30" s="3">
        <f t="shared" si="2"/>
        <v>1.2076722708974674E-2</v>
      </c>
      <c r="G30" s="3">
        <f>1-POWER(1-E30,Donnees!$D$4)</f>
        <v>0.21451319895896026</v>
      </c>
      <c r="H30" s="3">
        <f t="shared" si="3"/>
        <v>4.6617178096873921</v>
      </c>
      <c r="I30" s="8">
        <f>1/(1-POWER(1-$F30*$F$3*$F$8,Donnees!$D$4))</f>
        <v>9.8177034242507268</v>
      </c>
      <c r="J30" s="8">
        <f>1/(1-POWER(1-$F30*$F$3*$F$9,Donnees!$D$4))</f>
        <v>84.479968231682932</v>
      </c>
      <c r="K30" s="10">
        <f>1/(1-POWER(1-$F30*$F$4*$F$8,Donnees!$D$4))</f>
        <v>15.814488958922057</v>
      </c>
      <c r="L30" s="10">
        <f>1/(1-POWER(1-$F30*$F$4*$F$9,Donnees!$D$4))</f>
        <v>138.48213838284252</v>
      </c>
      <c r="M30" s="12">
        <f>1/(1-POWER(1-$F30*$F$5*$F$8,Donnees!$D$4))</f>
        <v>31.145831732597358</v>
      </c>
      <c r="N30" s="12">
        <f>1/(1-POWER(1-$F30*$F$5*$F$9,Donnees!$D$4))</f>
        <v>276.48837308590822</v>
      </c>
      <c r="O30" s="6">
        <f>1/(1-POWER(1-$F30*$F$6*$F$8,Donnees!$D$4))</f>
        <v>92.480261032095697</v>
      </c>
      <c r="P30" s="6">
        <f>1/(1-POWER(1-$F30*$F$6*$F$9,Donnees!$D$4))</f>
        <v>828.51431607704581</v>
      </c>
      <c r="Q30" s="16">
        <f>1/(1-POWER(1-$F30*$F$7*$F$8,Donnees!$D$4))</f>
        <v>644.50563016443709</v>
      </c>
      <c r="R30" s="16">
        <f>1/(1-POWER(1-$F30*$F$7*$F$9,Donnees!$D$4))</f>
        <v>5796.7495240968374</v>
      </c>
    </row>
    <row r="31" spans="1:18" x14ac:dyDescent="0.35">
      <c r="A31" t="s">
        <v>47</v>
      </c>
      <c r="B31" t="s">
        <v>191</v>
      </c>
      <c r="C31" t="s">
        <v>737</v>
      </c>
      <c r="D31" t="s">
        <v>128</v>
      </c>
      <c r="E31" s="3">
        <f>VLOOKUP(D31,$A$13:$F$16,5,FALSE)*_xlfn.XLOOKUP(Resultats!C31,Table1[name],Table1[cardRarityMultiplier])</f>
        <v>6.2500000000000003E-3</v>
      </c>
      <c r="F31" s="3">
        <f t="shared" si="2"/>
        <v>6.2899597442576428E-3</v>
      </c>
      <c r="G31" s="3">
        <f>1-POWER(1-E31,Donnees!$D$4)</f>
        <v>0.11784919800517701</v>
      </c>
      <c r="H31" s="3">
        <f t="shared" si="3"/>
        <v>8.4854204943852984</v>
      </c>
      <c r="I31" s="8">
        <f>1/(1-POWER(1-$F31*$F$3*$F$8,Donnees!$D$4))</f>
        <v>18.400493418649408</v>
      </c>
      <c r="J31" s="8">
        <f>1/(1-POWER(1-$F31*$F$3*$F$9,Donnees!$D$4))</f>
        <v>161.76315399679564</v>
      </c>
      <c r="K31" s="10">
        <f>1/(1-POWER(1-$F31*$F$4*$F$8,Donnees!$D$4))</f>
        <v>29.919220086827341</v>
      </c>
      <c r="L31" s="10">
        <f>1/(1-POWER(1-$F31*$F$4*$F$9,Donnees!$D$4))</f>
        <v>265.44786276089866</v>
      </c>
      <c r="M31" s="12">
        <f>1/(1-POWER(1-$F31*$F$5*$F$8,Donnees!$D$4))</f>
        <v>59.359200966760184</v>
      </c>
      <c r="N31" s="12">
        <f>1/(1-POWER(1-$F31*$F$5*$F$9,Donnees!$D$4))</f>
        <v>530.42025490253059</v>
      </c>
      <c r="O31" s="6">
        <f>1/(1-POWER(1-$F31*$F$6*$F$8,Donnees!$D$4))</f>
        <v>177.12383664707096</v>
      </c>
      <c r="P31" s="6">
        <f>1/(1-POWER(1-$F31*$F$6*$F$9,Donnees!$D$4))</f>
        <v>1590.3103464032965</v>
      </c>
      <c r="Q31" s="16">
        <f>1/(1-POWER(1-$F31*$F$7*$F$8,Donnees!$D$4))</f>
        <v>1237.013629317039</v>
      </c>
      <c r="R31" s="16">
        <f>1/(1-POWER(1-$F31*$F$7*$F$9,Donnees!$D$4))</f>
        <v>11129.322066265169</v>
      </c>
    </row>
    <row r="32" spans="1:18" x14ac:dyDescent="0.35">
      <c r="A32" t="s">
        <v>47</v>
      </c>
      <c r="B32" t="s">
        <v>199</v>
      </c>
      <c r="C32" t="s">
        <v>59</v>
      </c>
      <c r="D32" t="s">
        <v>52</v>
      </c>
      <c r="E32" s="3">
        <f>VLOOKUP(D32,$A$13:$F$16,5,FALSE)*_xlfn.XLOOKUP(Resultats!C32,Table1[name],Table1[cardRarityMultiplier])</f>
        <v>1.0416666666666666E-2</v>
      </c>
      <c r="F32" s="3">
        <f t="shared" si="2"/>
        <v>1.0483266240429404E-2</v>
      </c>
      <c r="G32" s="3">
        <f>1-POWER(1-E32,Donnees!$D$4)</f>
        <v>0.18895034296044488</v>
      </c>
      <c r="H32" s="3">
        <f t="shared" si="3"/>
        <v>5.2923957921015328</v>
      </c>
      <c r="I32" s="8">
        <f>1/(1-POWER(1-$F32*$F$3*$F$8,Donnees!$D$4))</f>
        <v>11.235256894630343</v>
      </c>
      <c r="J32" s="8">
        <f>1/(1-POWER(1-$F32*$F$3*$F$9,Donnees!$D$4))</f>
        <v>97.248442313271994</v>
      </c>
      <c r="K32" s="10">
        <f>1/(1-POWER(1-$F32*$F$4*$F$8,Donnees!$D$4))</f>
        <v>18.144548696683167</v>
      </c>
      <c r="L32" s="10">
        <f>1/(1-POWER(1-$F32*$F$4*$F$9,Donnees!$D$4))</f>
        <v>159.45905234658639</v>
      </c>
      <c r="M32" s="12">
        <f>1/(1-POWER(1-$F32*$F$5*$F$8,Donnees!$D$4))</f>
        <v>35.807027675609113</v>
      </c>
      <c r="N32" s="12">
        <f>1/(1-POWER(1-$F32*$F$5*$F$9,Donnees!$D$4))</f>
        <v>318.4423202704682</v>
      </c>
      <c r="O32" s="6">
        <f>1/(1-POWER(1-$F32*$F$6*$F$8,Donnees!$D$4))</f>
        <v>106.46480407108302</v>
      </c>
      <c r="P32" s="6">
        <f>1/(1-POWER(1-$F32*$F$6*$F$9,Donnees!$D$4))</f>
        <v>954.37626361541584</v>
      </c>
      <c r="Q32" s="16">
        <f>1/(1-POWER(1-$F32*$F$7*$F$8,Donnees!$D$4))</f>
        <v>742.39824929896793</v>
      </c>
      <c r="R32" s="16">
        <f>1/(1-POWER(1-$F32*$F$7*$F$9,Donnees!$D$4))</f>
        <v>6677.7832477698757</v>
      </c>
    </row>
    <row r="33" spans="1:18" x14ac:dyDescent="0.35">
      <c r="A33" t="s">
        <v>47</v>
      </c>
      <c r="B33" t="s">
        <v>208</v>
      </c>
      <c r="C33" t="s">
        <v>738</v>
      </c>
      <c r="D33" t="s">
        <v>52</v>
      </c>
      <c r="E33" s="3">
        <f>VLOOKUP(D33,$A$13:$F$16,5,FALSE)*_xlfn.XLOOKUP(Resultats!C33,Table1[name],Table1[cardRarityMultiplier])</f>
        <v>1.0416666666666666E-2</v>
      </c>
      <c r="F33" s="3">
        <f t="shared" si="2"/>
        <v>1.0483266240429404E-2</v>
      </c>
      <c r="G33" s="3">
        <f>1-POWER(1-E33,Donnees!$D$4)</f>
        <v>0.18895034296044488</v>
      </c>
      <c r="H33" s="3">
        <f t="shared" si="3"/>
        <v>5.2923957921015328</v>
      </c>
      <c r="I33" s="8">
        <f>1/(1-POWER(1-$F33*$F$3*$F$8,Donnees!$D$4))</f>
        <v>11.235256894630343</v>
      </c>
      <c r="J33" s="8">
        <f>1/(1-POWER(1-$F33*$F$3*$F$9,Donnees!$D$4))</f>
        <v>97.248442313271994</v>
      </c>
      <c r="K33" s="10">
        <f>1/(1-POWER(1-$F33*$F$4*$F$8,Donnees!$D$4))</f>
        <v>18.144548696683167</v>
      </c>
      <c r="L33" s="10">
        <f>1/(1-POWER(1-$F33*$F$4*$F$9,Donnees!$D$4))</f>
        <v>159.45905234658639</v>
      </c>
      <c r="M33" s="12">
        <f>1/(1-POWER(1-$F33*$F$5*$F$8,Donnees!$D$4))</f>
        <v>35.807027675609113</v>
      </c>
      <c r="N33" s="12">
        <f>1/(1-POWER(1-$F33*$F$5*$F$9,Donnees!$D$4))</f>
        <v>318.4423202704682</v>
      </c>
      <c r="O33" s="6">
        <f>1/(1-POWER(1-$F33*$F$6*$F$8,Donnees!$D$4))</f>
        <v>106.46480407108302</v>
      </c>
      <c r="P33" s="6">
        <f>1/(1-POWER(1-$F33*$F$6*$F$9,Donnees!$D$4))</f>
        <v>954.37626361541584</v>
      </c>
      <c r="Q33" s="16">
        <f>1/(1-POWER(1-$F33*$F$7*$F$8,Donnees!$D$4))</f>
        <v>742.39824929896793</v>
      </c>
      <c r="R33" s="16">
        <f>1/(1-POWER(1-$F33*$F$7*$F$9,Donnees!$D$4))</f>
        <v>6677.7832477698757</v>
      </c>
    </row>
    <row r="34" spans="1:18" x14ac:dyDescent="0.35">
      <c r="A34" t="s">
        <v>47</v>
      </c>
      <c r="B34" t="s">
        <v>222</v>
      </c>
      <c r="C34" t="s">
        <v>740</v>
      </c>
      <c r="D34" t="s">
        <v>52</v>
      </c>
      <c r="E34" s="3">
        <f>VLOOKUP(D34,$A$13:$F$16,5,FALSE)*_xlfn.XLOOKUP(Resultats!C34,Table1[name],Table1[cardRarityMultiplier])</f>
        <v>1.0416666666666666E-2</v>
      </c>
      <c r="F34" s="3">
        <f t="shared" si="2"/>
        <v>1.0483266240429404E-2</v>
      </c>
      <c r="G34" s="3">
        <f>1-POWER(1-E34,Donnees!$D$4)</f>
        <v>0.18895034296044488</v>
      </c>
      <c r="H34" s="3">
        <f t="shared" si="3"/>
        <v>5.2923957921015328</v>
      </c>
      <c r="I34" s="8">
        <f>1/(1-POWER(1-$F34*$F$3*$F$8,Donnees!$D$4))</f>
        <v>11.235256894630343</v>
      </c>
      <c r="J34" s="8">
        <f>1/(1-POWER(1-$F34*$F$3*$F$9,Donnees!$D$4))</f>
        <v>97.248442313271994</v>
      </c>
      <c r="K34" s="10">
        <f>1/(1-POWER(1-$F34*$F$4*$F$8,Donnees!$D$4))</f>
        <v>18.144548696683167</v>
      </c>
      <c r="L34" s="10">
        <f>1/(1-POWER(1-$F34*$F$4*$F$9,Donnees!$D$4))</f>
        <v>159.45905234658639</v>
      </c>
      <c r="M34" s="12">
        <f>1/(1-POWER(1-$F34*$F$5*$F$8,Donnees!$D$4))</f>
        <v>35.807027675609113</v>
      </c>
      <c r="N34" s="12">
        <f>1/(1-POWER(1-$F34*$F$5*$F$9,Donnees!$D$4))</f>
        <v>318.4423202704682</v>
      </c>
      <c r="O34" s="6">
        <f>1/(1-POWER(1-$F34*$F$6*$F$8,Donnees!$D$4))</f>
        <v>106.46480407108302</v>
      </c>
      <c r="P34" s="6">
        <f>1/(1-POWER(1-$F34*$F$6*$F$9,Donnees!$D$4))</f>
        <v>954.37626361541584</v>
      </c>
      <c r="Q34" s="16">
        <f>1/(1-POWER(1-$F34*$F$7*$F$8,Donnees!$D$4))</f>
        <v>742.39824929896793</v>
      </c>
      <c r="R34" s="16">
        <f>1/(1-POWER(1-$F34*$F$7*$F$9,Donnees!$D$4))</f>
        <v>6677.7832477698757</v>
      </c>
    </row>
    <row r="35" spans="1:18" x14ac:dyDescent="0.35">
      <c r="A35" t="s">
        <v>47</v>
      </c>
      <c r="B35" t="s">
        <v>231</v>
      </c>
      <c r="C35" t="s">
        <v>741</v>
      </c>
      <c r="D35" t="s">
        <v>70</v>
      </c>
      <c r="E35" s="3">
        <f>VLOOKUP(D35,$A$13:$F$16,5,FALSE)*_xlfn.XLOOKUP(Resultats!C35,Table1[name],Table1[cardRarityMultiplier])</f>
        <v>1.2E-2</v>
      </c>
      <c r="F35" s="3">
        <f t="shared" si="2"/>
        <v>1.2076722708974674E-2</v>
      </c>
      <c r="G35" s="3">
        <f>1-POWER(1-E35,Donnees!$D$4)</f>
        <v>0.21451319895896026</v>
      </c>
      <c r="H35" s="3">
        <f t="shared" si="3"/>
        <v>4.6617178096873921</v>
      </c>
      <c r="I35" s="8">
        <f>1/(1-POWER(1-$F35*$F$3*$F$8,Donnees!$D$4))</f>
        <v>9.8177034242507268</v>
      </c>
      <c r="J35" s="8">
        <f>1/(1-POWER(1-$F35*$F$3*$F$9,Donnees!$D$4))</f>
        <v>84.479968231682932</v>
      </c>
      <c r="K35" s="10">
        <f>1/(1-POWER(1-$F35*$F$4*$F$8,Donnees!$D$4))</f>
        <v>15.814488958922057</v>
      </c>
      <c r="L35" s="10">
        <f>1/(1-POWER(1-$F35*$F$4*$F$9,Donnees!$D$4))</f>
        <v>138.48213838284252</v>
      </c>
      <c r="M35" s="12">
        <f>1/(1-POWER(1-$F35*$F$5*$F$8,Donnees!$D$4))</f>
        <v>31.145831732597358</v>
      </c>
      <c r="N35" s="12">
        <f>1/(1-POWER(1-$F35*$F$5*$F$9,Donnees!$D$4))</f>
        <v>276.48837308590822</v>
      </c>
      <c r="O35" s="6">
        <f>1/(1-POWER(1-$F35*$F$6*$F$8,Donnees!$D$4))</f>
        <v>92.480261032095697</v>
      </c>
      <c r="P35" s="6">
        <f>1/(1-POWER(1-$F35*$F$6*$F$9,Donnees!$D$4))</f>
        <v>828.51431607704581</v>
      </c>
      <c r="Q35" s="16">
        <f>1/(1-POWER(1-$F35*$F$7*$F$8,Donnees!$D$4))</f>
        <v>644.50563016443709</v>
      </c>
      <c r="R35" s="16">
        <f>1/(1-POWER(1-$F35*$F$7*$F$9,Donnees!$D$4))</f>
        <v>5796.7495240968374</v>
      </c>
    </row>
    <row r="36" spans="1:18" x14ac:dyDescent="0.35">
      <c r="A36" t="s">
        <v>47</v>
      </c>
      <c r="B36" t="s">
        <v>241</v>
      </c>
      <c r="C36" t="s">
        <v>742</v>
      </c>
      <c r="D36" t="s">
        <v>128</v>
      </c>
      <c r="E36" s="3">
        <f>VLOOKUP(D36,$A$13:$F$16,5,FALSE)*_xlfn.XLOOKUP(Resultats!C36,Table1[name],Table1[cardRarityMultiplier])</f>
        <v>6.2500000000000003E-3</v>
      </c>
      <c r="F36" s="3">
        <f t="shared" si="2"/>
        <v>6.2899597442576428E-3</v>
      </c>
      <c r="G36" s="3">
        <f>1-POWER(1-E36,Donnees!$D$4)</f>
        <v>0.11784919800517701</v>
      </c>
      <c r="H36" s="3">
        <f t="shared" si="3"/>
        <v>8.4854204943852984</v>
      </c>
      <c r="I36" s="8">
        <f>1/(1-POWER(1-$F36*$F$3*$F$8,Donnees!$D$4))</f>
        <v>18.400493418649408</v>
      </c>
      <c r="J36" s="8">
        <f>1/(1-POWER(1-$F36*$F$3*$F$9,Donnees!$D$4))</f>
        <v>161.76315399679564</v>
      </c>
      <c r="K36" s="10">
        <f>1/(1-POWER(1-$F36*$F$4*$F$8,Donnees!$D$4))</f>
        <v>29.919220086827341</v>
      </c>
      <c r="L36" s="10">
        <f>1/(1-POWER(1-$F36*$F$4*$F$9,Donnees!$D$4))</f>
        <v>265.44786276089866</v>
      </c>
      <c r="M36" s="12">
        <f>1/(1-POWER(1-$F36*$F$5*$F$8,Donnees!$D$4))</f>
        <v>59.359200966760184</v>
      </c>
      <c r="N36" s="12">
        <f>1/(1-POWER(1-$F36*$F$5*$F$9,Donnees!$D$4))</f>
        <v>530.42025490253059</v>
      </c>
      <c r="O36" s="6">
        <f>1/(1-POWER(1-$F36*$F$6*$F$8,Donnees!$D$4))</f>
        <v>177.12383664707096</v>
      </c>
      <c r="P36" s="6">
        <f>1/(1-POWER(1-$F36*$F$6*$F$9,Donnees!$D$4))</f>
        <v>1590.3103464032965</v>
      </c>
      <c r="Q36" s="16">
        <f>1/(1-POWER(1-$F36*$F$7*$F$8,Donnees!$D$4))</f>
        <v>1237.013629317039</v>
      </c>
      <c r="R36" s="16">
        <f>1/(1-POWER(1-$F36*$F$7*$F$9,Donnees!$D$4))</f>
        <v>11129.322066265169</v>
      </c>
    </row>
    <row r="37" spans="1:18" x14ac:dyDescent="0.35">
      <c r="A37" t="s">
        <v>47</v>
      </c>
      <c r="B37" t="s">
        <v>246</v>
      </c>
      <c r="C37" t="s">
        <v>247</v>
      </c>
      <c r="D37" t="s">
        <v>52</v>
      </c>
      <c r="E37" s="3">
        <f>VLOOKUP(D37,$A$13:$F$16,5,FALSE)*_xlfn.XLOOKUP(Resultats!C37,Table1[name],Table1[cardRarityMultiplier])</f>
        <v>1.0416666666666666E-2</v>
      </c>
      <c r="F37" s="3">
        <f t="shared" si="2"/>
        <v>1.0483266240429404E-2</v>
      </c>
      <c r="G37" s="3">
        <f>1-POWER(1-E37,Donnees!$D$4)</f>
        <v>0.18895034296044488</v>
      </c>
      <c r="H37" s="3">
        <f t="shared" si="3"/>
        <v>5.2923957921015328</v>
      </c>
      <c r="I37" s="8">
        <f>1/(1-POWER(1-$F37*$F$3*$F$8,Donnees!$D$4))</f>
        <v>11.235256894630343</v>
      </c>
      <c r="J37" s="8">
        <f>1/(1-POWER(1-$F37*$F$3*$F$9,Donnees!$D$4))</f>
        <v>97.248442313271994</v>
      </c>
      <c r="K37" s="10">
        <f>1/(1-POWER(1-$F37*$F$4*$F$8,Donnees!$D$4))</f>
        <v>18.144548696683167</v>
      </c>
      <c r="L37" s="10">
        <f>1/(1-POWER(1-$F37*$F$4*$F$9,Donnees!$D$4))</f>
        <v>159.45905234658639</v>
      </c>
      <c r="M37" s="12">
        <f>1/(1-POWER(1-$F37*$F$5*$F$8,Donnees!$D$4))</f>
        <v>35.807027675609113</v>
      </c>
      <c r="N37" s="12">
        <f>1/(1-POWER(1-$F37*$F$5*$F$9,Donnees!$D$4))</f>
        <v>318.4423202704682</v>
      </c>
      <c r="O37" s="6">
        <f>1/(1-POWER(1-$F37*$F$6*$F$8,Donnees!$D$4))</f>
        <v>106.46480407108302</v>
      </c>
      <c r="P37" s="6">
        <f>1/(1-POWER(1-$F37*$F$6*$F$9,Donnees!$D$4))</f>
        <v>954.37626361541584</v>
      </c>
      <c r="Q37" s="16">
        <f>1/(1-POWER(1-$F37*$F$7*$F$8,Donnees!$D$4))</f>
        <v>742.39824929896793</v>
      </c>
      <c r="R37" s="16">
        <f>1/(1-POWER(1-$F37*$F$7*$F$9,Donnees!$D$4))</f>
        <v>6677.7832477698757</v>
      </c>
    </row>
    <row r="38" spans="1:18" x14ac:dyDescent="0.35">
      <c r="A38" t="s">
        <v>47</v>
      </c>
      <c r="B38" t="s">
        <v>259</v>
      </c>
      <c r="C38" t="s">
        <v>744</v>
      </c>
      <c r="D38" t="s">
        <v>70</v>
      </c>
      <c r="E38" s="3">
        <f>VLOOKUP(D38,$A$13:$F$16,5,FALSE)*_xlfn.XLOOKUP(Resultats!C38,Table1[name],Table1[cardRarityMultiplier])</f>
        <v>1.2E-2</v>
      </c>
      <c r="F38" s="3">
        <f t="shared" si="2"/>
        <v>1.2076722708974674E-2</v>
      </c>
      <c r="G38" s="3">
        <f>1-POWER(1-E38,Donnees!$D$4)</f>
        <v>0.21451319895896026</v>
      </c>
      <c r="H38" s="3">
        <f t="shared" si="3"/>
        <v>4.6617178096873921</v>
      </c>
      <c r="I38" s="8">
        <f>1/(1-POWER(1-$F38*$F$3*$F$8,Donnees!$D$4))</f>
        <v>9.8177034242507268</v>
      </c>
      <c r="J38" s="8">
        <f>1/(1-POWER(1-$F38*$F$3*$F$9,Donnees!$D$4))</f>
        <v>84.479968231682932</v>
      </c>
      <c r="K38" s="10">
        <f>1/(1-POWER(1-$F38*$F$4*$F$8,Donnees!$D$4))</f>
        <v>15.814488958922057</v>
      </c>
      <c r="L38" s="10">
        <f>1/(1-POWER(1-$F38*$F$4*$F$9,Donnees!$D$4))</f>
        <v>138.48213838284252</v>
      </c>
      <c r="M38" s="12">
        <f>1/(1-POWER(1-$F38*$F$5*$F$8,Donnees!$D$4))</f>
        <v>31.145831732597358</v>
      </c>
      <c r="N38" s="12">
        <f>1/(1-POWER(1-$F38*$F$5*$F$9,Donnees!$D$4))</f>
        <v>276.48837308590822</v>
      </c>
      <c r="O38" s="6">
        <f>1/(1-POWER(1-$F38*$F$6*$F$8,Donnees!$D$4))</f>
        <v>92.480261032095697</v>
      </c>
      <c r="P38" s="6">
        <f>1/(1-POWER(1-$F38*$F$6*$F$9,Donnees!$D$4))</f>
        <v>828.51431607704581</v>
      </c>
      <c r="Q38" s="16">
        <f>1/(1-POWER(1-$F38*$F$7*$F$8,Donnees!$D$4))</f>
        <v>644.50563016443709</v>
      </c>
      <c r="R38" s="16">
        <f>1/(1-POWER(1-$F38*$F$7*$F$9,Donnees!$D$4))</f>
        <v>5796.7495240968374</v>
      </c>
    </row>
    <row r="39" spans="1:18" x14ac:dyDescent="0.35">
      <c r="A39" t="s">
        <v>47</v>
      </c>
      <c r="B39" t="s">
        <v>266</v>
      </c>
      <c r="C39" t="s">
        <v>267</v>
      </c>
      <c r="D39" t="s">
        <v>52</v>
      </c>
      <c r="E39" s="3">
        <f>VLOOKUP(D39,$A$13:$F$16,5,FALSE)*_xlfn.XLOOKUP(Resultats!C39,Table1[name],Table1[cardRarityMultiplier])</f>
        <v>1.0416666666666666E-2</v>
      </c>
      <c r="F39" s="3">
        <f t="shared" si="2"/>
        <v>1.0483266240429404E-2</v>
      </c>
      <c r="G39" s="3">
        <f>1-POWER(1-E39,Donnees!$D$4)</f>
        <v>0.18895034296044488</v>
      </c>
      <c r="H39" s="3">
        <f t="shared" si="3"/>
        <v>5.2923957921015328</v>
      </c>
      <c r="I39" s="8">
        <f>1/(1-POWER(1-$F39*$F$3*$F$8,Donnees!$D$4))</f>
        <v>11.235256894630343</v>
      </c>
      <c r="J39" s="8">
        <f>1/(1-POWER(1-$F39*$F$3*$F$9,Donnees!$D$4))</f>
        <v>97.248442313271994</v>
      </c>
      <c r="K39" s="10">
        <f>1/(1-POWER(1-$F39*$F$4*$F$8,Donnees!$D$4))</f>
        <v>18.144548696683167</v>
      </c>
      <c r="L39" s="10">
        <f>1/(1-POWER(1-$F39*$F$4*$F$9,Donnees!$D$4))</f>
        <v>159.45905234658639</v>
      </c>
      <c r="M39" s="12">
        <f>1/(1-POWER(1-$F39*$F$5*$F$8,Donnees!$D$4))</f>
        <v>35.807027675609113</v>
      </c>
      <c r="N39" s="12">
        <f>1/(1-POWER(1-$F39*$F$5*$F$9,Donnees!$D$4))</f>
        <v>318.4423202704682</v>
      </c>
      <c r="O39" s="6">
        <f>1/(1-POWER(1-$F39*$F$6*$F$8,Donnees!$D$4))</f>
        <v>106.46480407108302</v>
      </c>
      <c r="P39" s="6">
        <f>1/(1-POWER(1-$F39*$F$6*$F$9,Donnees!$D$4))</f>
        <v>954.37626361541584</v>
      </c>
      <c r="Q39" s="16">
        <f>1/(1-POWER(1-$F39*$F$7*$F$8,Donnees!$D$4))</f>
        <v>742.39824929896793</v>
      </c>
      <c r="R39" s="16">
        <f>1/(1-POWER(1-$F39*$F$7*$F$9,Donnees!$D$4))</f>
        <v>6677.7832477698757</v>
      </c>
    </row>
    <row r="40" spans="1:18" x14ac:dyDescent="0.35">
      <c r="A40" t="s">
        <v>47</v>
      </c>
      <c r="B40" t="s">
        <v>275</v>
      </c>
      <c r="C40" t="s">
        <v>276</v>
      </c>
      <c r="D40" t="s">
        <v>70</v>
      </c>
      <c r="E40" s="3">
        <f>VLOOKUP(D40,$A$13:$F$16,5,FALSE)*_xlfn.XLOOKUP(Resultats!C40,Table1[name],Table1[cardRarityMultiplier])</f>
        <v>1.2E-2</v>
      </c>
      <c r="F40" s="3">
        <f t="shared" si="2"/>
        <v>1.2076722708974674E-2</v>
      </c>
      <c r="G40" s="3">
        <f>1-POWER(1-E40,Donnees!$D$4)</f>
        <v>0.21451319895896026</v>
      </c>
      <c r="H40" s="3">
        <f t="shared" si="3"/>
        <v>4.6617178096873921</v>
      </c>
      <c r="I40" s="8">
        <f>1/(1-POWER(1-$F40*$F$3*$F$8,Donnees!$D$4))</f>
        <v>9.8177034242507268</v>
      </c>
      <c r="J40" s="8">
        <f>1/(1-POWER(1-$F40*$F$3*$F$9,Donnees!$D$4))</f>
        <v>84.479968231682932</v>
      </c>
      <c r="K40" s="10">
        <f>1/(1-POWER(1-$F40*$F$4*$F$8,Donnees!$D$4))</f>
        <v>15.814488958922057</v>
      </c>
      <c r="L40" s="10">
        <f>1/(1-POWER(1-$F40*$F$4*$F$9,Donnees!$D$4))</f>
        <v>138.48213838284252</v>
      </c>
      <c r="M40" s="12">
        <f>1/(1-POWER(1-$F40*$F$5*$F$8,Donnees!$D$4))</f>
        <v>31.145831732597358</v>
      </c>
      <c r="N40" s="12">
        <f>1/(1-POWER(1-$F40*$F$5*$F$9,Donnees!$D$4))</f>
        <v>276.48837308590822</v>
      </c>
      <c r="O40" s="6">
        <f>1/(1-POWER(1-$F40*$F$6*$F$8,Donnees!$D$4))</f>
        <v>92.480261032095697</v>
      </c>
      <c r="P40" s="6">
        <f>1/(1-POWER(1-$F40*$F$6*$F$9,Donnees!$D$4))</f>
        <v>828.51431607704581</v>
      </c>
      <c r="Q40" s="16">
        <f>1/(1-POWER(1-$F40*$F$7*$F$8,Donnees!$D$4))</f>
        <v>644.50563016443709</v>
      </c>
      <c r="R40" s="16">
        <f>1/(1-POWER(1-$F40*$F$7*$F$9,Donnees!$D$4))</f>
        <v>5796.7495240968374</v>
      </c>
    </row>
    <row r="41" spans="1:18" x14ac:dyDescent="0.35">
      <c r="A41" t="s">
        <v>47</v>
      </c>
      <c r="B41" t="s">
        <v>290</v>
      </c>
      <c r="C41" t="s">
        <v>291</v>
      </c>
      <c r="D41" t="s">
        <v>70</v>
      </c>
      <c r="E41" s="3">
        <f>VLOOKUP(D41,$A$13:$F$16,5,FALSE)*_xlfn.XLOOKUP(Resultats!C41,Table1[name],Table1[cardRarityMultiplier])</f>
        <v>1.2E-2</v>
      </c>
      <c r="F41" s="3">
        <f t="shared" si="2"/>
        <v>1.2076722708974674E-2</v>
      </c>
      <c r="G41" s="3">
        <f>1-POWER(1-E41,Donnees!$D$4)</f>
        <v>0.21451319895896026</v>
      </c>
      <c r="H41" s="3">
        <f t="shared" si="3"/>
        <v>4.6617178096873921</v>
      </c>
      <c r="I41" s="8">
        <f>1/(1-POWER(1-$F41*$F$3*$F$8,Donnees!$D$4))</f>
        <v>9.8177034242507268</v>
      </c>
      <c r="J41" s="8">
        <f>1/(1-POWER(1-$F41*$F$3*$F$9,Donnees!$D$4))</f>
        <v>84.479968231682932</v>
      </c>
      <c r="K41" s="10">
        <f>1/(1-POWER(1-$F41*$F$4*$F$8,Donnees!$D$4))</f>
        <v>15.814488958922057</v>
      </c>
      <c r="L41" s="10">
        <f>1/(1-POWER(1-$F41*$F$4*$F$9,Donnees!$D$4))</f>
        <v>138.48213838284252</v>
      </c>
      <c r="M41" s="12">
        <f>1/(1-POWER(1-$F41*$F$5*$F$8,Donnees!$D$4))</f>
        <v>31.145831732597358</v>
      </c>
      <c r="N41" s="12">
        <f>1/(1-POWER(1-$F41*$F$5*$F$9,Donnees!$D$4))</f>
        <v>276.48837308590822</v>
      </c>
      <c r="O41" s="6">
        <f>1/(1-POWER(1-$F41*$F$6*$F$8,Donnees!$D$4))</f>
        <v>92.480261032095697</v>
      </c>
      <c r="P41" s="6">
        <f>1/(1-POWER(1-$F41*$F$6*$F$9,Donnees!$D$4))</f>
        <v>828.51431607704581</v>
      </c>
      <c r="Q41" s="16">
        <f>1/(1-POWER(1-$F41*$F$7*$F$8,Donnees!$D$4))</f>
        <v>644.50563016443709</v>
      </c>
      <c r="R41" s="16">
        <f>1/(1-POWER(1-$F41*$F$7*$F$9,Donnees!$D$4))</f>
        <v>5796.7495240968374</v>
      </c>
    </row>
    <row r="42" spans="1:18" x14ac:dyDescent="0.35">
      <c r="A42" t="s">
        <v>47</v>
      </c>
      <c r="B42" t="s">
        <v>304</v>
      </c>
      <c r="C42" t="s">
        <v>747</v>
      </c>
      <c r="D42" t="s">
        <v>305</v>
      </c>
      <c r="E42" s="3">
        <f>VLOOKUP(D42,$A$13:$F$16,5,FALSE)*_xlfn.XLOOKUP(Resultats!C42,Table1[name],Table1[cardRarityMultiplier])</f>
        <v>8.8235294117647058E-3</v>
      </c>
      <c r="F42" s="3">
        <f t="shared" si="2"/>
        <v>8.8799431683637305E-3</v>
      </c>
      <c r="G42" s="3">
        <f>1-POWER(1-E42,Donnees!$D$4)</f>
        <v>0.16243277107126597</v>
      </c>
      <c r="H42" s="3">
        <f t="shared" si="3"/>
        <v>6.1563931551796198</v>
      </c>
      <c r="I42" s="8">
        <f>1/(1-POWER(1-$F42*$F$3*$F$8,Donnees!$D$4))</f>
        <v>13.175495165058894</v>
      </c>
      <c r="J42" s="8">
        <f>1/(1-POWER(1-$F42*$F$3*$F$9,Donnees!$D$4))</f>
        <v>114.72113838668551</v>
      </c>
      <c r="K42" s="10">
        <f>1/(1-POWER(1-$F42*$F$4*$F$8,Donnees!$D$4))</f>
        <v>21.333311604482738</v>
      </c>
      <c r="L42" s="10">
        <f>1/(1-POWER(1-$F42*$F$4*$F$9,Donnees!$D$4))</f>
        <v>188.16433183484756</v>
      </c>
      <c r="M42" s="12">
        <f>1/(1-POWER(1-$F42*$F$5*$F$8,Donnees!$D$4))</f>
        <v>42.185636143924029</v>
      </c>
      <c r="N42" s="12">
        <f>1/(1-POWER(1-$F42*$F$5*$F$9,Donnees!$D$4))</f>
        <v>375.85299923613218</v>
      </c>
      <c r="O42" s="6">
        <f>1/(1-POWER(1-$F42*$F$6*$F$8,Donnees!$D$4))</f>
        <v>125.60159038873364</v>
      </c>
      <c r="P42" s="6">
        <f>1/(1-POWER(1-$F42*$F$6*$F$9,Donnees!$D$4))</f>
        <v>1126.6084071499856</v>
      </c>
      <c r="Q42" s="16">
        <f>1/(1-POWER(1-$F42*$F$7*$F$8,Donnees!$D$4))</f>
        <v>876.35657638905536</v>
      </c>
      <c r="R42" s="16">
        <f>1/(1-POWER(1-$F42*$F$7*$F$9,Donnees!$D$4))</f>
        <v>7883.4083438508196</v>
      </c>
    </row>
    <row r="43" spans="1:18" x14ac:dyDescent="0.35">
      <c r="A43" t="s">
        <v>47</v>
      </c>
      <c r="B43" t="s">
        <v>318</v>
      </c>
      <c r="C43" t="s">
        <v>749</v>
      </c>
      <c r="D43" t="s">
        <v>305</v>
      </c>
      <c r="E43" s="3">
        <f>VLOOKUP(D43,$A$13:$F$16,5,FALSE)*_xlfn.XLOOKUP(Resultats!C43,Table1[name],Table1[cardRarityMultiplier])</f>
        <v>8.8235294117647058E-3</v>
      </c>
      <c r="F43" s="3">
        <f t="shared" si="2"/>
        <v>8.8799431683637305E-3</v>
      </c>
      <c r="G43" s="3">
        <f>1-POWER(1-E43,Donnees!$D$4)</f>
        <v>0.16243277107126597</v>
      </c>
      <c r="H43" s="3">
        <f t="shared" si="3"/>
        <v>6.1563931551796198</v>
      </c>
      <c r="I43" s="8">
        <f>1/(1-POWER(1-$F43*$F$3*$F$8,Donnees!$D$4))</f>
        <v>13.175495165058894</v>
      </c>
      <c r="J43" s="8">
        <f>1/(1-POWER(1-$F43*$F$3*$F$9,Donnees!$D$4))</f>
        <v>114.72113838668551</v>
      </c>
      <c r="K43" s="10">
        <f>1/(1-POWER(1-$F43*$F$4*$F$8,Donnees!$D$4))</f>
        <v>21.333311604482738</v>
      </c>
      <c r="L43" s="10">
        <f>1/(1-POWER(1-$F43*$F$4*$F$9,Donnees!$D$4))</f>
        <v>188.16433183484756</v>
      </c>
      <c r="M43" s="12">
        <f>1/(1-POWER(1-$F43*$F$5*$F$8,Donnees!$D$4))</f>
        <v>42.185636143924029</v>
      </c>
      <c r="N43" s="12">
        <f>1/(1-POWER(1-$F43*$F$5*$F$9,Donnees!$D$4))</f>
        <v>375.85299923613218</v>
      </c>
      <c r="O43" s="6">
        <f>1/(1-POWER(1-$F43*$F$6*$F$8,Donnees!$D$4))</f>
        <v>125.60159038873364</v>
      </c>
      <c r="P43" s="6">
        <f>1/(1-POWER(1-$F43*$F$6*$F$9,Donnees!$D$4))</f>
        <v>1126.6084071499856</v>
      </c>
      <c r="Q43" s="16">
        <f>1/(1-POWER(1-$F43*$F$7*$F$8,Donnees!$D$4))</f>
        <v>876.35657638905536</v>
      </c>
      <c r="R43" s="16">
        <f>1/(1-POWER(1-$F43*$F$7*$F$9,Donnees!$D$4))</f>
        <v>7883.4083438508196</v>
      </c>
    </row>
    <row r="44" spans="1:18" x14ac:dyDescent="0.35">
      <c r="A44" t="s">
        <v>47</v>
      </c>
      <c r="B44" t="s">
        <v>331</v>
      </c>
      <c r="C44" t="s">
        <v>332</v>
      </c>
      <c r="D44" t="s">
        <v>70</v>
      </c>
      <c r="E44" s="3">
        <f>VLOOKUP(D44,$A$13:$F$16,5,FALSE)*_xlfn.XLOOKUP(Resultats!C44,Table1[name],Table1[cardRarityMultiplier])</f>
        <v>1.2E-2</v>
      </c>
      <c r="F44" s="3">
        <f t="shared" si="2"/>
        <v>1.2076722708974674E-2</v>
      </c>
      <c r="G44" s="3">
        <f>1-POWER(1-E44,Donnees!$D$4)</f>
        <v>0.21451319895896026</v>
      </c>
      <c r="H44" s="3">
        <f t="shared" si="3"/>
        <v>4.6617178096873921</v>
      </c>
      <c r="I44" s="8">
        <f>1/(1-POWER(1-$F44*$F$3*$F$8,Donnees!$D$4))</f>
        <v>9.8177034242507268</v>
      </c>
      <c r="J44" s="8">
        <f>1/(1-POWER(1-$F44*$F$3*$F$9,Donnees!$D$4))</f>
        <v>84.479968231682932</v>
      </c>
      <c r="K44" s="10">
        <f>1/(1-POWER(1-$F44*$F$4*$F$8,Donnees!$D$4))</f>
        <v>15.814488958922057</v>
      </c>
      <c r="L44" s="10">
        <f>1/(1-POWER(1-$F44*$F$4*$F$9,Donnees!$D$4))</f>
        <v>138.48213838284252</v>
      </c>
      <c r="M44" s="12">
        <f>1/(1-POWER(1-$F44*$F$5*$F$8,Donnees!$D$4))</f>
        <v>31.145831732597358</v>
      </c>
      <c r="N44" s="12">
        <f>1/(1-POWER(1-$F44*$F$5*$F$9,Donnees!$D$4))</f>
        <v>276.48837308590822</v>
      </c>
      <c r="O44" s="6">
        <f>1/(1-POWER(1-$F44*$F$6*$F$8,Donnees!$D$4))</f>
        <v>92.480261032095697</v>
      </c>
      <c r="P44" s="6">
        <f>1/(1-POWER(1-$F44*$F$6*$F$9,Donnees!$D$4))</f>
        <v>828.51431607704581</v>
      </c>
      <c r="Q44" s="16">
        <f>1/(1-POWER(1-$F44*$F$7*$F$8,Donnees!$D$4))</f>
        <v>644.50563016443709</v>
      </c>
      <c r="R44" s="16">
        <f>1/(1-POWER(1-$F44*$F$7*$F$9,Donnees!$D$4))</f>
        <v>5796.7495240968374</v>
      </c>
    </row>
    <row r="45" spans="1:18" x14ac:dyDescent="0.35">
      <c r="A45" t="s">
        <v>47</v>
      </c>
      <c r="B45" t="s">
        <v>341</v>
      </c>
      <c r="C45" t="s">
        <v>342</v>
      </c>
      <c r="D45" t="s">
        <v>52</v>
      </c>
      <c r="E45" s="3">
        <f>VLOOKUP(D45,$A$13:$F$16,5,FALSE)*_xlfn.XLOOKUP(Resultats!C45,Table1[name],Table1[cardRarityMultiplier])</f>
        <v>1.0416666666666666E-2</v>
      </c>
      <c r="F45" s="3">
        <f t="shared" si="2"/>
        <v>1.0483266240429404E-2</v>
      </c>
      <c r="G45" s="3">
        <f>1-POWER(1-E45,Donnees!$D$4)</f>
        <v>0.18895034296044488</v>
      </c>
      <c r="H45" s="3">
        <f t="shared" si="3"/>
        <v>5.2923957921015328</v>
      </c>
      <c r="I45" s="8">
        <f>1/(1-POWER(1-$F45*$F$3*$F$8,Donnees!$D$4))</f>
        <v>11.235256894630343</v>
      </c>
      <c r="J45" s="8">
        <f>1/(1-POWER(1-$F45*$F$3*$F$9,Donnees!$D$4))</f>
        <v>97.248442313271994</v>
      </c>
      <c r="K45" s="10">
        <f>1/(1-POWER(1-$F45*$F$4*$F$8,Donnees!$D$4))</f>
        <v>18.144548696683167</v>
      </c>
      <c r="L45" s="10">
        <f>1/(1-POWER(1-$F45*$F$4*$F$9,Donnees!$D$4))</f>
        <v>159.45905234658639</v>
      </c>
      <c r="M45" s="12">
        <f>1/(1-POWER(1-$F45*$F$5*$F$8,Donnees!$D$4))</f>
        <v>35.807027675609113</v>
      </c>
      <c r="N45" s="12">
        <f>1/(1-POWER(1-$F45*$F$5*$F$9,Donnees!$D$4))</f>
        <v>318.4423202704682</v>
      </c>
      <c r="O45" s="6">
        <f>1/(1-POWER(1-$F45*$F$6*$F$8,Donnees!$D$4))</f>
        <v>106.46480407108302</v>
      </c>
      <c r="P45" s="6">
        <f>1/(1-POWER(1-$F45*$F$6*$F$9,Donnees!$D$4))</f>
        <v>954.37626361541584</v>
      </c>
      <c r="Q45" s="16">
        <f>1/(1-POWER(1-$F45*$F$7*$F$8,Donnees!$D$4))</f>
        <v>742.39824929896793</v>
      </c>
      <c r="R45" s="16">
        <f>1/(1-POWER(1-$F45*$F$7*$F$9,Donnees!$D$4))</f>
        <v>6677.7832477698757</v>
      </c>
    </row>
    <row r="46" spans="1:18" x14ac:dyDescent="0.35">
      <c r="A46" t="s">
        <v>47</v>
      </c>
      <c r="B46" t="s">
        <v>353</v>
      </c>
      <c r="C46" t="s">
        <v>754</v>
      </c>
      <c r="D46" t="s">
        <v>70</v>
      </c>
      <c r="E46" s="3">
        <f>VLOOKUP(D46,$A$13:$F$16,5,FALSE)*_xlfn.XLOOKUP(Resultats!C46,Table1[name],Table1[cardRarityMultiplier])</f>
        <v>1.2E-2</v>
      </c>
      <c r="F46" s="3">
        <f t="shared" si="2"/>
        <v>1.2076722708974674E-2</v>
      </c>
      <c r="G46" s="3">
        <f>1-POWER(1-E46,Donnees!$D$4)</f>
        <v>0.21451319895896026</v>
      </c>
      <c r="H46" s="3">
        <f t="shared" si="3"/>
        <v>4.6617178096873921</v>
      </c>
      <c r="I46" s="8">
        <f>1/(1-POWER(1-$F46*$F$3*$F$8,Donnees!$D$4))</f>
        <v>9.8177034242507268</v>
      </c>
      <c r="J46" s="8">
        <f>1/(1-POWER(1-$F46*$F$3*$F$9,Donnees!$D$4))</f>
        <v>84.479968231682932</v>
      </c>
      <c r="K46" s="10">
        <f>1/(1-POWER(1-$F46*$F$4*$F$8,Donnees!$D$4))</f>
        <v>15.814488958922057</v>
      </c>
      <c r="L46" s="10">
        <f>1/(1-POWER(1-$F46*$F$4*$F$9,Donnees!$D$4))</f>
        <v>138.48213838284252</v>
      </c>
      <c r="M46" s="12">
        <f>1/(1-POWER(1-$F46*$F$5*$F$8,Donnees!$D$4))</f>
        <v>31.145831732597358</v>
      </c>
      <c r="N46" s="12">
        <f>1/(1-POWER(1-$F46*$F$5*$F$9,Donnees!$D$4))</f>
        <v>276.48837308590822</v>
      </c>
      <c r="O46" s="6">
        <f>1/(1-POWER(1-$F46*$F$6*$F$8,Donnees!$D$4))</f>
        <v>92.480261032095697</v>
      </c>
      <c r="P46" s="6">
        <f>1/(1-POWER(1-$F46*$F$6*$F$9,Donnees!$D$4))</f>
        <v>828.51431607704581</v>
      </c>
      <c r="Q46" s="16">
        <f>1/(1-POWER(1-$F46*$F$7*$F$8,Donnees!$D$4))</f>
        <v>644.50563016443709</v>
      </c>
      <c r="R46" s="16">
        <f>1/(1-POWER(1-$F46*$F$7*$F$9,Donnees!$D$4))</f>
        <v>5796.7495240968374</v>
      </c>
    </row>
    <row r="47" spans="1:18" x14ac:dyDescent="0.35">
      <c r="A47" t="s">
        <v>47</v>
      </c>
      <c r="B47" t="s">
        <v>366</v>
      </c>
      <c r="C47" t="s">
        <v>755</v>
      </c>
      <c r="D47" t="s">
        <v>52</v>
      </c>
      <c r="E47" s="3">
        <f>VLOOKUP(D47,$A$13:$F$16,5,FALSE)*_xlfn.XLOOKUP(Resultats!C47,Table1[name],Table1[cardRarityMultiplier])</f>
        <v>1.0416666666666666E-2</v>
      </c>
      <c r="F47" s="3">
        <f t="shared" si="2"/>
        <v>1.0483266240429404E-2</v>
      </c>
      <c r="G47" s="3">
        <f>1-POWER(1-E47,Donnees!$D$4)</f>
        <v>0.18895034296044488</v>
      </c>
      <c r="H47" s="3">
        <f t="shared" si="3"/>
        <v>5.2923957921015328</v>
      </c>
      <c r="I47" s="8">
        <f>1/(1-POWER(1-$F47*$F$3*$F$8,Donnees!$D$4))</f>
        <v>11.235256894630343</v>
      </c>
      <c r="J47" s="8">
        <f>1/(1-POWER(1-$F47*$F$3*$F$9,Donnees!$D$4))</f>
        <v>97.248442313271994</v>
      </c>
      <c r="K47" s="10">
        <f>1/(1-POWER(1-$F47*$F$4*$F$8,Donnees!$D$4))</f>
        <v>18.144548696683167</v>
      </c>
      <c r="L47" s="10">
        <f>1/(1-POWER(1-$F47*$F$4*$F$9,Donnees!$D$4))</f>
        <v>159.45905234658639</v>
      </c>
      <c r="M47" s="12">
        <f>1/(1-POWER(1-$F47*$F$5*$F$8,Donnees!$D$4))</f>
        <v>35.807027675609113</v>
      </c>
      <c r="N47" s="12">
        <f>1/(1-POWER(1-$F47*$F$5*$F$9,Donnees!$D$4))</f>
        <v>318.4423202704682</v>
      </c>
      <c r="O47" s="6">
        <f>1/(1-POWER(1-$F47*$F$6*$F$8,Donnees!$D$4))</f>
        <v>106.46480407108302</v>
      </c>
      <c r="P47" s="6">
        <f>1/(1-POWER(1-$F47*$F$6*$F$9,Donnees!$D$4))</f>
        <v>954.37626361541584</v>
      </c>
      <c r="Q47" s="16">
        <f>1/(1-POWER(1-$F47*$F$7*$F$8,Donnees!$D$4))</f>
        <v>742.39824929896793</v>
      </c>
      <c r="R47" s="16">
        <f>1/(1-POWER(1-$F47*$F$7*$F$9,Donnees!$D$4))</f>
        <v>6677.7832477698757</v>
      </c>
    </row>
    <row r="48" spans="1:18" x14ac:dyDescent="0.35">
      <c r="A48" t="s">
        <v>47</v>
      </c>
      <c r="B48" t="s">
        <v>377</v>
      </c>
      <c r="C48" t="s">
        <v>378</v>
      </c>
      <c r="D48" t="s">
        <v>305</v>
      </c>
      <c r="E48" s="3">
        <f>VLOOKUP(D48,$A$13:$F$16,5,FALSE)*_xlfn.XLOOKUP(Resultats!C48,Table1[name],Table1[cardRarityMultiplier])</f>
        <v>8.8235294117647058E-3</v>
      </c>
      <c r="F48" s="3">
        <f t="shared" si="2"/>
        <v>8.8799431683637305E-3</v>
      </c>
      <c r="G48" s="3">
        <f>1-POWER(1-E48,Donnees!$D$4)</f>
        <v>0.16243277107126597</v>
      </c>
      <c r="H48" s="3">
        <f t="shared" si="3"/>
        <v>6.1563931551796198</v>
      </c>
      <c r="I48" s="8">
        <f>1/(1-POWER(1-$F48*$F$3*$F$8,Donnees!$D$4))</f>
        <v>13.175495165058894</v>
      </c>
      <c r="J48" s="8">
        <f>1/(1-POWER(1-$F48*$F$3*$F$9,Donnees!$D$4))</f>
        <v>114.72113838668551</v>
      </c>
      <c r="K48" s="10">
        <f>1/(1-POWER(1-$F48*$F$4*$F$8,Donnees!$D$4))</f>
        <v>21.333311604482738</v>
      </c>
      <c r="L48" s="10">
        <f>1/(1-POWER(1-$F48*$F$4*$F$9,Donnees!$D$4))</f>
        <v>188.16433183484756</v>
      </c>
      <c r="M48" s="12">
        <f>1/(1-POWER(1-$F48*$F$5*$F$8,Donnees!$D$4))</f>
        <v>42.185636143924029</v>
      </c>
      <c r="N48" s="12">
        <f>1/(1-POWER(1-$F48*$F$5*$F$9,Donnees!$D$4))</f>
        <v>375.85299923613218</v>
      </c>
      <c r="O48" s="6">
        <f>1/(1-POWER(1-$F48*$F$6*$F$8,Donnees!$D$4))</f>
        <v>125.60159038873364</v>
      </c>
      <c r="P48" s="6">
        <f>1/(1-POWER(1-$F48*$F$6*$F$9,Donnees!$D$4))</f>
        <v>1126.6084071499856</v>
      </c>
      <c r="Q48" s="16">
        <f>1/(1-POWER(1-$F48*$F$7*$F$8,Donnees!$D$4))</f>
        <v>876.35657638905536</v>
      </c>
      <c r="R48" s="16">
        <f>1/(1-POWER(1-$F48*$F$7*$F$9,Donnees!$D$4))</f>
        <v>7883.4083438508196</v>
      </c>
    </row>
    <row r="49" spans="1:18" x14ac:dyDescent="0.35">
      <c r="A49" t="s">
        <v>47</v>
      </c>
      <c r="B49" t="s">
        <v>391</v>
      </c>
      <c r="C49" t="s">
        <v>392</v>
      </c>
      <c r="D49" t="s">
        <v>70</v>
      </c>
      <c r="E49" s="3">
        <f>VLOOKUP(D49,$A$13:$F$16,5,FALSE)*_xlfn.XLOOKUP(Resultats!C49,Table1[name],Table1[cardRarityMultiplier])</f>
        <v>1.2E-2</v>
      </c>
      <c r="F49" s="3">
        <f t="shared" si="2"/>
        <v>1.2076722708974674E-2</v>
      </c>
      <c r="G49" s="3">
        <f>1-POWER(1-E49,Donnees!$D$4)</f>
        <v>0.21451319895896026</v>
      </c>
      <c r="H49" s="3">
        <f t="shared" si="3"/>
        <v>4.6617178096873921</v>
      </c>
      <c r="I49" s="8">
        <f>1/(1-POWER(1-$F49*$F$3*$F$8,Donnees!$D$4))</f>
        <v>9.8177034242507268</v>
      </c>
      <c r="J49" s="8">
        <f>1/(1-POWER(1-$F49*$F$3*$F$9,Donnees!$D$4))</f>
        <v>84.479968231682932</v>
      </c>
      <c r="K49" s="10">
        <f>1/(1-POWER(1-$F49*$F$4*$F$8,Donnees!$D$4))</f>
        <v>15.814488958922057</v>
      </c>
      <c r="L49" s="10">
        <f>1/(1-POWER(1-$F49*$F$4*$F$9,Donnees!$D$4))</f>
        <v>138.48213838284252</v>
      </c>
      <c r="M49" s="12">
        <f>1/(1-POWER(1-$F49*$F$5*$F$8,Donnees!$D$4))</f>
        <v>31.145831732597358</v>
      </c>
      <c r="N49" s="12">
        <f>1/(1-POWER(1-$F49*$F$5*$F$9,Donnees!$D$4))</f>
        <v>276.48837308590822</v>
      </c>
      <c r="O49" s="6">
        <f>1/(1-POWER(1-$F49*$F$6*$F$8,Donnees!$D$4))</f>
        <v>92.480261032095697</v>
      </c>
      <c r="P49" s="6">
        <f>1/(1-POWER(1-$F49*$F$6*$F$9,Donnees!$D$4))</f>
        <v>828.51431607704581</v>
      </c>
      <c r="Q49" s="16">
        <f>1/(1-POWER(1-$F49*$F$7*$F$8,Donnees!$D$4))</f>
        <v>644.50563016443709</v>
      </c>
      <c r="R49" s="16">
        <f>1/(1-POWER(1-$F49*$F$7*$F$9,Donnees!$D$4))</f>
        <v>5796.7495240968374</v>
      </c>
    </row>
    <row r="50" spans="1:18" x14ac:dyDescent="0.35">
      <c r="A50" t="s">
        <v>47</v>
      </c>
      <c r="B50" t="s">
        <v>400</v>
      </c>
      <c r="C50" t="s">
        <v>401</v>
      </c>
      <c r="D50" t="s">
        <v>70</v>
      </c>
      <c r="E50" s="3">
        <f>VLOOKUP(D50,$A$13:$F$16,5,FALSE)*_xlfn.XLOOKUP(Resultats!C50,Table1[name],Table1[cardRarityMultiplier])</f>
        <v>1.2E-2</v>
      </c>
      <c r="F50" s="3">
        <f t="shared" si="2"/>
        <v>1.2076722708974674E-2</v>
      </c>
      <c r="G50" s="3">
        <f>1-POWER(1-E50,Donnees!$D$4)</f>
        <v>0.21451319895896026</v>
      </c>
      <c r="H50" s="3">
        <f t="shared" si="3"/>
        <v>4.6617178096873921</v>
      </c>
      <c r="I50" s="8">
        <f>1/(1-POWER(1-$F50*$F$3*$F$8,Donnees!$D$4))</f>
        <v>9.8177034242507268</v>
      </c>
      <c r="J50" s="8">
        <f>1/(1-POWER(1-$F50*$F$3*$F$9,Donnees!$D$4))</f>
        <v>84.479968231682932</v>
      </c>
      <c r="K50" s="10">
        <f>1/(1-POWER(1-$F50*$F$4*$F$8,Donnees!$D$4))</f>
        <v>15.814488958922057</v>
      </c>
      <c r="L50" s="10">
        <f>1/(1-POWER(1-$F50*$F$4*$F$9,Donnees!$D$4))</f>
        <v>138.48213838284252</v>
      </c>
      <c r="M50" s="12">
        <f>1/(1-POWER(1-$F50*$F$5*$F$8,Donnees!$D$4))</f>
        <v>31.145831732597358</v>
      </c>
      <c r="N50" s="12">
        <f>1/(1-POWER(1-$F50*$F$5*$F$9,Donnees!$D$4))</f>
        <v>276.48837308590822</v>
      </c>
      <c r="O50" s="6">
        <f>1/(1-POWER(1-$F50*$F$6*$F$8,Donnees!$D$4))</f>
        <v>92.480261032095697</v>
      </c>
      <c r="P50" s="6">
        <f>1/(1-POWER(1-$F50*$F$6*$F$9,Donnees!$D$4))</f>
        <v>828.51431607704581</v>
      </c>
      <c r="Q50" s="16">
        <f>1/(1-POWER(1-$F50*$F$7*$F$8,Donnees!$D$4))</f>
        <v>644.50563016443709</v>
      </c>
      <c r="R50" s="16">
        <f>1/(1-POWER(1-$F50*$F$7*$F$9,Donnees!$D$4))</f>
        <v>5796.7495240968374</v>
      </c>
    </row>
    <row r="51" spans="1:18" x14ac:dyDescent="0.35">
      <c r="A51" t="s">
        <v>47</v>
      </c>
      <c r="B51" t="s">
        <v>410</v>
      </c>
      <c r="C51" t="s">
        <v>411</v>
      </c>
      <c r="D51" t="s">
        <v>52</v>
      </c>
      <c r="E51" s="3">
        <f>VLOOKUP(D51,$A$13:$F$16,5,FALSE)*_xlfn.XLOOKUP(Resultats!C51,Table1[name],Table1[cardRarityMultiplier])</f>
        <v>1.0416666666666666E-2</v>
      </c>
      <c r="F51" s="3">
        <f t="shared" si="2"/>
        <v>1.0483266240429404E-2</v>
      </c>
      <c r="G51" s="3">
        <f>1-POWER(1-E51,Donnees!$D$4)</f>
        <v>0.18895034296044488</v>
      </c>
      <c r="H51" s="3">
        <f t="shared" si="3"/>
        <v>5.2923957921015328</v>
      </c>
      <c r="I51" s="8">
        <f>1/(1-POWER(1-$F51*$F$3*$F$8,Donnees!$D$4))</f>
        <v>11.235256894630343</v>
      </c>
      <c r="J51" s="8">
        <f>1/(1-POWER(1-$F51*$F$3*$F$9,Donnees!$D$4))</f>
        <v>97.248442313271994</v>
      </c>
      <c r="K51" s="10">
        <f>1/(1-POWER(1-$F51*$F$4*$F$8,Donnees!$D$4))</f>
        <v>18.144548696683167</v>
      </c>
      <c r="L51" s="10">
        <f>1/(1-POWER(1-$F51*$F$4*$F$9,Donnees!$D$4))</f>
        <v>159.45905234658639</v>
      </c>
      <c r="M51" s="12">
        <f>1/(1-POWER(1-$F51*$F$5*$F$8,Donnees!$D$4))</f>
        <v>35.807027675609113</v>
      </c>
      <c r="N51" s="12">
        <f>1/(1-POWER(1-$F51*$F$5*$F$9,Donnees!$D$4))</f>
        <v>318.4423202704682</v>
      </c>
      <c r="O51" s="6">
        <f>1/(1-POWER(1-$F51*$F$6*$F$8,Donnees!$D$4))</f>
        <v>106.46480407108302</v>
      </c>
      <c r="P51" s="6">
        <f>1/(1-POWER(1-$F51*$F$6*$F$9,Donnees!$D$4))</f>
        <v>954.37626361541584</v>
      </c>
      <c r="Q51" s="16">
        <f>1/(1-POWER(1-$F51*$F$7*$F$8,Donnees!$D$4))</f>
        <v>742.39824929896793</v>
      </c>
      <c r="R51" s="16">
        <f>1/(1-POWER(1-$F51*$F$7*$F$9,Donnees!$D$4))</f>
        <v>6677.7832477698757</v>
      </c>
    </row>
    <row r="52" spans="1:18" x14ac:dyDescent="0.35">
      <c r="A52" t="s">
        <v>47</v>
      </c>
      <c r="B52" t="s">
        <v>420</v>
      </c>
      <c r="C52" t="s">
        <v>421</v>
      </c>
      <c r="D52" t="s">
        <v>52</v>
      </c>
      <c r="E52" s="3">
        <f>VLOOKUP(D52,$A$13:$F$16,5,FALSE)*_xlfn.XLOOKUP(Resultats!C52,Table1[name],Table1[cardRarityMultiplier])</f>
        <v>1.0416666666666666E-2</v>
      </c>
      <c r="F52" s="3">
        <f t="shared" ref="F52:F83" si="4">E52/$E$118</f>
        <v>1.0483266240429404E-2</v>
      </c>
      <c r="G52" s="3">
        <f>1-POWER(1-E52,Donnees!$D$4)</f>
        <v>0.18895034296044488</v>
      </c>
      <c r="H52" s="3">
        <f t="shared" ref="H52:H69" si="5">1/G52</f>
        <v>5.2923957921015328</v>
      </c>
      <c r="I52" s="8">
        <f>1/(1-POWER(1-$F52*$F$3*$F$8,Donnees!$D$4))</f>
        <v>11.235256894630343</v>
      </c>
      <c r="J52" s="8">
        <f>1/(1-POWER(1-$F52*$F$3*$F$9,Donnees!$D$4))</f>
        <v>97.248442313271994</v>
      </c>
      <c r="K52" s="10">
        <f>1/(1-POWER(1-$F52*$F$4*$F$8,Donnees!$D$4))</f>
        <v>18.144548696683167</v>
      </c>
      <c r="L52" s="10">
        <f>1/(1-POWER(1-$F52*$F$4*$F$9,Donnees!$D$4))</f>
        <v>159.45905234658639</v>
      </c>
      <c r="M52" s="12">
        <f>1/(1-POWER(1-$F52*$F$5*$F$8,Donnees!$D$4))</f>
        <v>35.807027675609113</v>
      </c>
      <c r="N52" s="12">
        <f>1/(1-POWER(1-$F52*$F$5*$F$9,Donnees!$D$4))</f>
        <v>318.4423202704682</v>
      </c>
      <c r="O52" s="6">
        <f>1/(1-POWER(1-$F52*$F$6*$F$8,Donnees!$D$4))</f>
        <v>106.46480407108302</v>
      </c>
      <c r="P52" s="6">
        <f>1/(1-POWER(1-$F52*$F$6*$F$9,Donnees!$D$4))</f>
        <v>954.37626361541584</v>
      </c>
      <c r="Q52" s="16">
        <f>1/(1-POWER(1-$F52*$F$7*$F$8,Donnees!$D$4))</f>
        <v>742.39824929896793</v>
      </c>
      <c r="R52" s="16">
        <f>1/(1-POWER(1-$F52*$F$7*$F$9,Donnees!$D$4))</f>
        <v>6677.7832477698757</v>
      </c>
    </row>
    <row r="53" spans="1:18" x14ac:dyDescent="0.35">
      <c r="A53" t="s">
        <v>47</v>
      </c>
      <c r="B53" t="s">
        <v>430</v>
      </c>
      <c r="C53" t="s">
        <v>761</v>
      </c>
      <c r="D53" t="s">
        <v>52</v>
      </c>
      <c r="E53" s="3">
        <f>VLOOKUP(D53,$A$13:$F$16,5,FALSE)*_xlfn.XLOOKUP(Resultats!C53,Table1[name],Table1[cardRarityMultiplier])</f>
        <v>1.0416666666666666E-2</v>
      </c>
      <c r="F53" s="3">
        <f t="shared" si="4"/>
        <v>1.0483266240429404E-2</v>
      </c>
      <c r="G53" s="3">
        <f>1-POWER(1-E53,Donnees!$D$4)</f>
        <v>0.18895034296044488</v>
      </c>
      <c r="H53" s="3">
        <f t="shared" si="5"/>
        <v>5.2923957921015328</v>
      </c>
      <c r="I53" s="8">
        <f>1/(1-POWER(1-$F53*$F$3*$F$8,Donnees!$D$4))</f>
        <v>11.235256894630343</v>
      </c>
      <c r="J53" s="8">
        <f>1/(1-POWER(1-$F53*$F$3*$F$9,Donnees!$D$4))</f>
        <v>97.248442313271994</v>
      </c>
      <c r="K53" s="10">
        <f>1/(1-POWER(1-$F53*$F$4*$F$8,Donnees!$D$4))</f>
        <v>18.144548696683167</v>
      </c>
      <c r="L53" s="10">
        <f>1/(1-POWER(1-$F53*$F$4*$F$9,Donnees!$D$4))</f>
        <v>159.45905234658639</v>
      </c>
      <c r="M53" s="12">
        <f>1/(1-POWER(1-$F53*$F$5*$F$8,Donnees!$D$4))</f>
        <v>35.807027675609113</v>
      </c>
      <c r="N53" s="12">
        <f>1/(1-POWER(1-$F53*$F$5*$F$9,Donnees!$D$4))</f>
        <v>318.4423202704682</v>
      </c>
      <c r="O53" s="6">
        <f>1/(1-POWER(1-$F53*$F$6*$F$8,Donnees!$D$4))</f>
        <v>106.46480407108302</v>
      </c>
      <c r="P53" s="6">
        <f>1/(1-POWER(1-$F53*$F$6*$F$9,Donnees!$D$4))</f>
        <v>954.37626361541584</v>
      </c>
      <c r="Q53" s="16">
        <f>1/(1-POWER(1-$F53*$F$7*$F$8,Donnees!$D$4))</f>
        <v>742.39824929896793</v>
      </c>
      <c r="R53" s="16">
        <f>1/(1-POWER(1-$F53*$F$7*$F$9,Donnees!$D$4))</f>
        <v>6677.7832477698757</v>
      </c>
    </row>
    <row r="54" spans="1:18" x14ac:dyDescent="0.35">
      <c r="A54" t="s">
        <v>47</v>
      </c>
      <c r="B54" t="s">
        <v>442</v>
      </c>
      <c r="C54" t="s">
        <v>763</v>
      </c>
      <c r="D54" t="s">
        <v>52</v>
      </c>
      <c r="E54" s="3">
        <f>VLOOKUP(D54,$A$13:$F$16,5,FALSE)*_xlfn.XLOOKUP(Resultats!C54,Table1[name],Table1[cardRarityMultiplier])</f>
        <v>1.0416666666666666E-2</v>
      </c>
      <c r="F54" s="3">
        <f t="shared" si="4"/>
        <v>1.0483266240429404E-2</v>
      </c>
      <c r="G54" s="3">
        <f>1-POWER(1-E54,Donnees!$D$4)</f>
        <v>0.18895034296044488</v>
      </c>
      <c r="H54" s="3">
        <f t="shared" si="5"/>
        <v>5.2923957921015328</v>
      </c>
      <c r="I54" s="8">
        <f>1/(1-POWER(1-$F54*$F$3*$F$8,Donnees!$D$4))</f>
        <v>11.235256894630343</v>
      </c>
      <c r="J54" s="8">
        <f>1/(1-POWER(1-$F54*$F$3*$F$9,Donnees!$D$4))</f>
        <v>97.248442313271994</v>
      </c>
      <c r="K54" s="10">
        <f>1/(1-POWER(1-$F54*$F$4*$F$8,Donnees!$D$4))</f>
        <v>18.144548696683167</v>
      </c>
      <c r="L54" s="10">
        <f>1/(1-POWER(1-$F54*$F$4*$F$9,Donnees!$D$4))</f>
        <v>159.45905234658639</v>
      </c>
      <c r="M54" s="12">
        <f>1/(1-POWER(1-$F54*$F$5*$F$8,Donnees!$D$4))</f>
        <v>35.807027675609113</v>
      </c>
      <c r="N54" s="12">
        <f>1/(1-POWER(1-$F54*$F$5*$F$9,Donnees!$D$4))</f>
        <v>318.4423202704682</v>
      </c>
      <c r="O54" s="6">
        <f>1/(1-POWER(1-$F54*$F$6*$F$8,Donnees!$D$4))</f>
        <v>106.46480407108302</v>
      </c>
      <c r="P54" s="6">
        <f>1/(1-POWER(1-$F54*$F$6*$F$9,Donnees!$D$4))</f>
        <v>954.37626361541584</v>
      </c>
      <c r="Q54" s="16">
        <f>1/(1-POWER(1-$F54*$F$7*$F$8,Donnees!$D$4))</f>
        <v>742.39824929896793</v>
      </c>
      <c r="R54" s="16">
        <f>1/(1-POWER(1-$F54*$F$7*$F$9,Donnees!$D$4))</f>
        <v>6677.7832477698757</v>
      </c>
    </row>
    <row r="55" spans="1:18" x14ac:dyDescent="0.35">
      <c r="A55" t="s">
        <v>47</v>
      </c>
      <c r="B55" t="s">
        <v>453</v>
      </c>
      <c r="C55" t="s">
        <v>454</v>
      </c>
      <c r="D55" t="s">
        <v>70</v>
      </c>
      <c r="E55" s="3">
        <f>VLOOKUP(D55,$A$13:$F$16,5,FALSE)*_xlfn.XLOOKUP(Resultats!C55,Table1[name],Table1[cardRarityMultiplier])</f>
        <v>1.2E-2</v>
      </c>
      <c r="F55" s="3">
        <f t="shared" si="4"/>
        <v>1.2076722708974674E-2</v>
      </c>
      <c r="G55" s="3">
        <f>1-POWER(1-E55,Donnees!$D$4)</f>
        <v>0.21451319895896026</v>
      </c>
      <c r="H55" s="3">
        <f t="shared" si="5"/>
        <v>4.6617178096873921</v>
      </c>
      <c r="I55" s="8">
        <f>1/(1-POWER(1-$F55*$F$3*$F$8,Donnees!$D$4))</f>
        <v>9.8177034242507268</v>
      </c>
      <c r="J55" s="8">
        <f>1/(1-POWER(1-$F55*$F$3*$F$9,Donnees!$D$4))</f>
        <v>84.479968231682932</v>
      </c>
      <c r="K55" s="10">
        <f>1/(1-POWER(1-$F55*$F$4*$F$8,Donnees!$D$4))</f>
        <v>15.814488958922057</v>
      </c>
      <c r="L55" s="10">
        <f>1/(1-POWER(1-$F55*$F$4*$F$9,Donnees!$D$4))</f>
        <v>138.48213838284252</v>
      </c>
      <c r="M55" s="12">
        <f>1/(1-POWER(1-$F55*$F$5*$F$8,Donnees!$D$4))</f>
        <v>31.145831732597358</v>
      </c>
      <c r="N55" s="12">
        <f>1/(1-POWER(1-$F55*$F$5*$F$9,Donnees!$D$4))</f>
        <v>276.48837308590822</v>
      </c>
      <c r="O55" s="6">
        <f>1/(1-POWER(1-$F55*$F$6*$F$8,Donnees!$D$4))</f>
        <v>92.480261032095697</v>
      </c>
      <c r="P55" s="6">
        <f>1/(1-POWER(1-$F55*$F$6*$F$9,Donnees!$D$4))</f>
        <v>828.51431607704581</v>
      </c>
      <c r="Q55" s="16">
        <f>1/(1-POWER(1-$F55*$F$7*$F$8,Donnees!$D$4))</f>
        <v>644.50563016443709</v>
      </c>
      <c r="R55" s="16">
        <f>1/(1-POWER(1-$F55*$F$7*$F$9,Donnees!$D$4))</f>
        <v>5796.7495240968374</v>
      </c>
    </row>
    <row r="56" spans="1:18" x14ac:dyDescent="0.35">
      <c r="A56" t="s">
        <v>47</v>
      </c>
      <c r="B56" t="s">
        <v>464</v>
      </c>
      <c r="C56" t="s">
        <v>766</v>
      </c>
      <c r="D56" t="s">
        <v>305</v>
      </c>
      <c r="E56" s="3">
        <f>VLOOKUP(D56,$A$13:$F$16,5,FALSE)*_xlfn.XLOOKUP(Resultats!C56,Table1[name],Table1[cardRarityMultiplier])</f>
        <v>8.8235294117647058E-3</v>
      </c>
      <c r="F56" s="3">
        <f t="shared" si="4"/>
        <v>8.8799431683637305E-3</v>
      </c>
      <c r="G56" s="3">
        <f>1-POWER(1-E56,Donnees!$D$4)</f>
        <v>0.16243277107126597</v>
      </c>
      <c r="H56" s="3">
        <f t="shared" si="5"/>
        <v>6.1563931551796198</v>
      </c>
      <c r="I56" s="8">
        <f>1/(1-POWER(1-$F56*$F$3*$F$8,Donnees!$D$4))</f>
        <v>13.175495165058894</v>
      </c>
      <c r="J56" s="8">
        <f>1/(1-POWER(1-$F56*$F$3*$F$9,Donnees!$D$4))</f>
        <v>114.72113838668551</v>
      </c>
      <c r="K56" s="10">
        <f>1/(1-POWER(1-$F56*$F$4*$F$8,Donnees!$D$4))</f>
        <v>21.333311604482738</v>
      </c>
      <c r="L56" s="10">
        <f>1/(1-POWER(1-$F56*$F$4*$F$9,Donnees!$D$4))</f>
        <v>188.16433183484756</v>
      </c>
      <c r="M56" s="12">
        <f>1/(1-POWER(1-$F56*$F$5*$F$8,Donnees!$D$4))</f>
        <v>42.185636143924029</v>
      </c>
      <c r="N56" s="12">
        <f>1/(1-POWER(1-$F56*$F$5*$F$9,Donnees!$D$4))</f>
        <v>375.85299923613218</v>
      </c>
      <c r="O56" s="6">
        <f>1/(1-POWER(1-$F56*$F$6*$F$8,Donnees!$D$4))</f>
        <v>125.60159038873364</v>
      </c>
      <c r="P56" s="6">
        <f>1/(1-POWER(1-$F56*$F$6*$F$9,Donnees!$D$4))</f>
        <v>1126.6084071499856</v>
      </c>
      <c r="Q56" s="16">
        <f>1/(1-POWER(1-$F56*$F$7*$F$8,Donnees!$D$4))</f>
        <v>876.35657638905536</v>
      </c>
      <c r="R56" s="16">
        <f>1/(1-POWER(1-$F56*$F$7*$F$9,Donnees!$D$4))</f>
        <v>7883.4083438508196</v>
      </c>
    </row>
    <row r="57" spans="1:18" x14ac:dyDescent="0.35">
      <c r="A57" t="s">
        <v>47</v>
      </c>
      <c r="B57" t="s">
        <v>475</v>
      </c>
      <c r="C57" t="s">
        <v>476</v>
      </c>
      <c r="D57" t="s">
        <v>70</v>
      </c>
      <c r="E57" s="3">
        <f>VLOOKUP(D57,$A$13:$F$16,5,FALSE)*_xlfn.XLOOKUP(Resultats!C57,Table1[name],Table1[cardRarityMultiplier])</f>
        <v>1.2E-2</v>
      </c>
      <c r="F57" s="3">
        <f t="shared" si="4"/>
        <v>1.2076722708974674E-2</v>
      </c>
      <c r="G57" s="3">
        <f>1-POWER(1-E57,Donnees!$D$4)</f>
        <v>0.21451319895896026</v>
      </c>
      <c r="H57" s="3">
        <f t="shared" si="5"/>
        <v>4.6617178096873921</v>
      </c>
      <c r="I57" s="8">
        <f>1/(1-POWER(1-$F57*$F$3*$F$8,Donnees!$D$4))</f>
        <v>9.8177034242507268</v>
      </c>
      <c r="J57" s="8">
        <f>1/(1-POWER(1-$F57*$F$3*$F$9,Donnees!$D$4))</f>
        <v>84.479968231682932</v>
      </c>
      <c r="K57" s="10">
        <f>1/(1-POWER(1-$F57*$F$4*$F$8,Donnees!$D$4))</f>
        <v>15.814488958922057</v>
      </c>
      <c r="L57" s="10">
        <f>1/(1-POWER(1-$F57*$F$4*$F$9,Donnees!$D$4))</f>
        <v>138.48213838284252</v>
      </c>
      <c r="M57" s="12">
        <f>1/(1-POWER(1-$F57*$F$5*$F$8,Donnees!$D$4))</f>
        <v>31.145831732597358</v>
      </c>
      <c r="N57" s="12">
        <f>1/(1-POWER(1-$F57*$F$5*$F$9,Donnees!$D$4))</f>
        <v>276.48837308590822</v>
      </c>
      <c r="O57" s="6">
        <f>1/(1-POWER(1-$F57*$F$6*$F$8,Donnees!$D$4))</f>
        <v>92.480261032095697</v>
      </c>
      <c r="P57" s="6">
        <f>1/(1-POWER(1-$F57*$F$6*$F$9,Donnees!$D$4))</f>
        <v>828.51431607704581</v>
      </c>
      <c r="Q57" s="16">
        <f>1/(1-POWER(1-$F57*$F$7*$F$8,Donnees!$D$4))</f>
        <v>644.50563016443709</v>
      </c>
      <c r="R57" s="16">
        <f>1/(1-POWER(1-$F57*$F$7*$F$9,Donnees!$D$4))</f>
        <v>5796.7495240968374</v>
      </c>
    </row>
    <row r="58" spans="1:18" x14ac:dyDescent="0.35">
      <c r="A58" t="s">
        <v>47</v>
      </c>
      <c r="B58" t="s">
        <v>487</v>
      </c>
      <c r="C58" t="s">
        <v>488</v>
      </c>
      <c r="D58" t="s">
        <v>70</v>
      </c>
      <c r="E58" s="3">
        <f>VLOOKUP(D58,$A$13:$F$16,5,FALSE)*_xlfn.XLOOKUP(Resultats!C58,Table1[name],Table1[cardRarityMultiplier])</f>
        <v>1.2E-2</v>
      </c>
      <c r="F58" s="3">
        <f t="shared" si="4"/>
        <v>1.2076722708974674E-2</v>
      </c>
      <c r="G58" s="3">
        <f>1-POWER(1-E58,Donnees!$D$4)</f>
        <v>0.21451319895896026</v>
      </c>
      <c r="H58" s="3">
        <f t="shared" si="5"/>
        <v>4.6617178096873921</v>
      </c>
      <c r="I58" s="8">
        <f>1/(1-POWER(1-$F58*$F$3*$F$8,Donnees!$D$4))</f>
        <v>9.8177034242507268</v>
      </c>
      <c r="J58" s="8">
        <f>1/(1-POWER(1-$F58*$F$3*$F$9,Donnees!$D$4))</f>
        <v>84.479968231682932</v>
      </c>
      <c r="K58" s="10">
        <f>1/(1-POWER(1-$F58*$F$4*$F$8,Donnees!$D$4))</f>
        <v>15.814488958922057</v>
      </c>
      <c r="L58" s="10">
        <f>1/(1-POWER(1-$F58*$F$4*$F$9,Donnees!$D$4))</f>
        <v>138.48213838284252</v>
      </c>
      <c r="M58" s="12">
        <f>1/(1-POWER(1-$F58*$F$5*$F$8,Donnees!$D$4))</f>
        <v>31.145831732597358</v>
      </c>
      <c r="N58" s="12">
        <f>1/(1-POWER(1-$F58*$F$5*$F$9,Donnees!$D$4))</f>
        <v>276.48837308590822</v>
      </c>
      <c r="O58" s="6">
        <f>1/(1-POWER(1-$F58*$F$6*$F$8,Donnees!$D$4))</f>
        <v>92.480261032095697</v>
      </c>
      <c r="P58" s="6">
        <f>1/(1-POWER(1-$F58*$F$6*$F$9,Donnees!$D$4))</f>
        <v>828.51431607704581</v>
      </c>
      <c r="Q58" s="16">
        <f>1/(1-POWER(1-$F58*$F$7*$F$8,Donnees!$D$4))</f>
        <v>644.50563016443709</v>
      </c>
      <c r="R58" s="16">
        <f>1/(1-POWER(1-$F58*$F$7*$F$9,Donnees!$D$4))</f>
        <v>5796.7495240968374</v>
      </c>
    </row>
    <row r="59" spans="1:18" x14ac:dyDescent="0.35">
      <c r="A59" t="s">
        <v>47</v>
      </c>
      <c r="B59" t="s">
        <v>499</v>
      </c>
      <c r="C59" t="s">
        <v>500</v>
      </c>
      <c r="D59" t="s">
        <v>305</v>
      </c>
      <c r="E59" s="3">
        <f>VLOOKUP(D59,$A$13:$F$16,5,FALSE)*_xlfn.XLOOKUP(Resultats!C59,Table1[name],Table1[cardRarityMultiplier])</f>
        <v>8.8235294117647058E-3</v>
      </c>
      <c r="F59" s="3">
        <f t="shared" si="4"/>
        <v>8.8799431683637305E-3</v>
      </c>
      <c r="G59" s="3">
        <f>1-POWER(1-E59,Donnees!$D$4)</f>
        <v>0.16243277107126597</v>
      </c>
      <c r="H59" s="3">
        <f t="shared" si="5"/>
        <v>6.1563931551796198</v>
      </c>
      <c r="I59" s="8">
        <f>1/(1-POWER(1-$F59*$F$3*$F$8,Donnees!$D$4))</f>
        <v>13.175495165058894</v>
      </c>
      <c r="J59" s="8">
        <f>1/(1-POWER(1-$F59*$F$3*$F$9,Donnees!$D$4))</f>
        <v>114.72113838668551</v>
      </c>
      <c r="K59" s="10">
        <f>1/(1-POWER(1-$F59*$F$4*$F$8,Donnees!$D$4))</f>
        <v>21.333311604482738</v>
      </c>
      <c r="L59" s="10">
        <f>1/(1-POWER(1-$F59*$F$4*$F$9,Donnees!$D$4))</f>
        <v>188.16433183484756</v>
      </c>
      <c r="M59" s="12">
        <f>1/(1-POWER(1-$F59*$F$5*$F$8,Donnees!$D$4))</f>
        <v>42.185636143924029</v>
      </c>
      <c r="N59" s="12">
        <f>1/(1-POWER(1-$F59*$F$5*$F$9,Donnees!$D$4))</f>
        <v>375.85299923613218</v>
      </c>
      <c r="O59" s="6">
        <f>1/(1-POWER(1-$F59*$F$6*$F$8,Donnees!$D$4))</f>
        <v>125.60159038873364</v>
      </c>
      <c r="P59" s="6">
        <f>1/(1-POWER(1-$F59*$F$6*$F$9,Donnees!$D$4))</f>
        <v>1126.6084071499856</v>
      </c>
      <c r="Q59" s="16">
        <f>1/(1-POWER(1-$F59*$F$7*$F$8,Donnees!$D$4))</f>
        <v>876.35657638905536</v>
      </c>
      <c r="R59" s="16">
        <f>1/(1-POWER(1-$F59*$F$7*$F$9,Donnees!$D$4))</f>
        <v>7883.4083438508196</v>
      </c>
    </row>
    <row r="60" spans="1:18" x14ac:dyDescent="0.35">
      <c r="A60" t="s">
        <v>47</v>
      </c>
      <c r="B60" t="s">
        <v>513</v>
      </c>
      <c r="C60" t="s">
        <v>514</v>
      </c>
      <c r="D60" t="s">
        <v>305</v>
      </c>
      <c r="E60" s="3">
        <f>VLOOKUP(D60,$A$13:$F$16,5,FALSE)*_xlfn.XLOOKUP(Resultats!C60,Table1[name],Table1[cardRarityMultiplier])</f>
        <v>8.8235294117647058E-3</v>
      </c>
      <c r="F60" s="3">
        <f t="shared" si="4"/>
        <v>8.8799431683637305E-3</v>
      </c>
      <c r="G60" s="3">
        <f>1-POWER(1-E60,Donnees!$D$4)</f>
        <v>0.16243277107126597</v>
      </c>
      <c r="H60" s="3">
        <f t="shared" si="5"/>
        <v>6.1563931551796198</v>
      </c>
      <c r="I60" s="8">
        <f>1/(1-POWER(1-$F60*$F$3*$F$8,Donnees!$D$4))</f>
        <v>13.175495165058894</v>
      </c>
      <c r="J60" s="8">
        <f>1/(1-POWER(1-$F60*$F$3*$F$9,Donnees!$D$4))</f>
        <v>114.72113838668551</v>
      </c>
      <c r="K60" s="10">
        <f>1/(1-POWER(1-$F60*$F$4*$F$8,Donnees!$D$4))</f>
        <v>21.333311604482738</v>
      </c>
      <c r="L60" s="10">
        <f>1/(1-POWER(1-$F60*$F$4*$F$9,Donnees!$D$4))</f>
        <v>188.16433183484756</v>
      </c>
      <c r="M60" s="12">
        <f>1/(1-POWER(1-$F60*$F$5*$F$8,Donnees!$D$4))</f>
        <v>42.185636143924029</v>
      </c>
      <c r="N60" s="12">
        <f>1/(1-POWER(1-$F60*$F$5*$F$9,Donnees!$D$4))</f>
        <v>375.85299923613218</v>
      </c>
      <c r="O60" s="6">
        <f>1/(1-POWER(1-$F60*$F$6*$F$8,Donnees!$D$4))</f>
        <v>125.60159038873364</v>
      </c>
      <c r="P60" s="6">
        <f>1/(1-POWER(1-$F60*$F$6*$F$9,Donnees!$D$4))</f>
        <v>1126.6084071499856</v>
      </c>
      <c r="Q60" s="16">
        <f>1/(1-POWER(1-$F60*$F$7*$F$8,Donnees!$D$4))</f>
        <v>876.35657638905536</v>
      </c>
      <c r="R60" s="16">
        <f>1/(1-POWER(1-$F60*$F$7*$F$9,Donnees!$D$4))</f>
        <v>7883.4083438508196</v>
      </c>
    </row>
    <row r="61" spans="1:18" x14ac:dyDescent="0.35">
      <c r="A61" t="s">
        <v>47</v>
      </c>
      <c r="B61" t="s">
        <v>527</v>
      </c>
      <c r="C61" t="s">
        <v>528</v>
      </c>
      <c r="D61" t="s">
        <v>305</v>
      </c>
      <c r="E61" s="3">
        <f>VLOOKUP(D61,$A$13:$F$16,5,FALSE)*_xlfn.XLOOKUP(Resultats!C61,Table1[name],Table1[cardRarityMultiplier])</f>
        <v>8.8235294117647058E-3</v>
      </c>
      <c r="F61" s="3">
        <f t="shared" si="4"/>
        <v>8.8799431683637305E-3</v>
      </c>
      <c r="G61" s="3">
        <f>1-POWER(1-E61,Donnees!$D$4)</f>
        <v>0.16243277107126597</v>
      </c>
      <c r="H61" s="3">
        <f t="shared" si="5"/>
        <v>6.1563931551796198</v>
      </c>
      <c r="I61" s="8">
        <f>1/(1-POWER(1-$F61*$F$3*$F$8,Donnees!$D$4))</f>
        <v>13.175495165058894</v>
      </c>
      <c r="J61" s="8">
        <f>1/(1-POWER(1-$F61*$F$3*$F$9,Donnees!$D$4))</f>
        <v>114.72113838668551</v>
      </c>
      <c r="K61" s="10">
        <f>1/(1-POWER(1-$F61*$F$4*$F$8,Donnees!$D$4))</f>
        <v>21.333311604482738</v>
      </c>
      <c r="L61" s="10">
        <f>1/(1-POWER(1-$F61*$F$4*$F$9,Donnees!$D$4))</f>
        <v>188.16433183484756</v>
      </c>
      <c r="M61" s="12">
        <f>1/(1-POWER(1-$F61*$F$5*$F$8,Donnees!$D$4))</f>
        <v>42.185636143924029</v>
      </c>
      <c r="N61" s="12">
        <f>1/(1-POWER(1-$F61*$F$5*$F$9,Donnees!$D$4))</f>
        <v>375.85299923613218</v>
      </c>
      <c r="O61" s="6">
        <f>1/(1-POWER(1-$F61*$F$6*$F$8,Donnees!$D$4))</f>
        <v>125.60159038873364</v>
      </c>
      <c r="P61" s="6">
        <f>1/(1-POWER(1-$F61*$F$6*$F$9,Donnees!$D$4))</f>
        <v>1126.6084071499856</v>
      </c>
      <c r="Q61" s="16">
        <f>1/(1-POWER(1-$F61*$F$7*$F$8,Donnees!$D$4))</f>
        <v>876.35657638905536</v>
      </c>
      <c r="R61" s="16">
        <f>1/(1-POWER(1-$F61*$F$7*$F$9,Donnees!$D$4))</f>
        <v>7883.4083438508196</v>
      </c>
    </row>
    <row r="62" spans="1:18" x14ac:dyDescent="0.35">
      <c r="A62" t="s">
        <v>47</v>
      </c>
      <c r="B62" t="s">
        <v>539</v>
      </c>
      <c r="C62" t="s">
        <v>540</v>
      </c>
      <c r="D62" t="s">
        <v>52</v>
      </c>
      <c r="E62" s="3">
        <f>VLOOKUP(D62,$A$13:$F$16,5,FALSE)*_xlfn.XLOOKUP(Resultats!C62,Table1[name],Table1[cardRarityMultiplier])</f>
        <v>1.0416666666666666E-2</v>
      </c>
      <c r="F62" s="3">
        <f t="shared" si="4"/>
        <v>1.0483266240429404E-2</v>
      </c>
      <c r="G62" s="3">
        <f>1-POWER(1-E62,Donnees!$D$4)</f>
        <v>0.18895034296044488</v>
      </c>
      <c r="H62" s="3">
        <f t="shared" si="5"/>
        <v>5.2923957921015328</v>
      </c>
      <c r="I62" s="8">
        <f>1/(1-POWER(1-$F62*$F$3*$F$8,Donnees!$D$4))</f>
        <v>11.235256894630343</v>
      </c>
      <c r="J62" s="8">
        <f>1/(1-POWER(1-$F62*$F$3*$F$9,Donnees!$D$4))</f>
        <v>97.248442313271994</v>
      </c>
      <c r="K62" s="10">
        <f>1/(1-POWER(1-$F62*$F$4*$F$8,Donnees!$D$4))</f>
        <v>18.144548696683167</v>
      </c>
      <c r="L62" s="10">
        <f>1/(1-POWER(1-$F62*$F$4*$F$9,Donnees!$D$4))</f>
        <v>159.45905234658639</v>
      </c>
      <c r="M62" s="12">
        <f>1/(1-POWER(1-$F62*$F$5*$F$8,Donnees!$D$4))</f>
        <v>35.807027675609113</v>
      </c>
      <c r="N62" s="12">
        <f>1/(1-POWER(1-$F62*$F$5*$F$9,Donnees!$D$4))</f>
        <v>318.4423202704682</v>
      </c>
      <c r="O62" s="6">
        <f>1/(1-POWER(1-$F62*$F$6*$F$8,Donnees!$D$4))</f>
        <v>106.46480407108302</v>
      </c>
      <c r="P62" s="6">
        <f>1/(1-POWER(1-$F62*$F$6*$F$9,Donnees!$D$4))</f>
        <v>954.37626361541584</v>
      </c>
      <c r="Q62" s="16">
        <f>1/(1-POWER(1-$F62*$F$7*$F$8,Donnees!$D$4))</f>
        <v>742.39824929896793</v>
      </c>
      <c r="R62" s="16">
        <f>1/(1-POWER(1-$F62*$F$7*$F$9,Donnees!$D$4))</f>
        <v>6677.7832477698757</v>
      </c>
    </row>
    <row r="63" spans="1:18" x14ac:dyDescent="0.35">
      <c r="A63" t="s">
        <v>47</v>
      </c>
      <c r="B63" t="s">
        <v>549</v>
      </c>
      <c r="C63" t="s">
        <v>770</v>
      </c>
      <c r="D63" t="s">
        <v>305</v>
      </c>
      <c r="E63" s="3">
        <f>VLOOKUP(D63,$A$13:$F$16,5,FALSE)*_xlfn.XLOOKUP(Resultats!C63,Table1[name],Table1[cardRarityMultiplier])</f>
        <v>8.8235294117647058E-3</v>
      </c>
      <c r="F63" s="3">
        <f t="shared" si="4"/>
        <v>8.8799431683637305E-3</v>
      </c>
      <c r="G63" s="3">
        <f>1-POWER(1-E63,Donnees!$D$4)</f>
        <v>0.16243277107126597</v>
      </c>
      <c r="H63" s="3">
        <f t="shared" si="5"/>
        <v>6.1563931551796198</v>
      </c>
      <c r="I63" s="8">
        <f>1/(1-POWER(1-$F63*$F$3*$F$8,Donnees!$D$4))</f>
        <v>13.175495165058894</v>
      </c>
      <c r="J63" s="8">
        <f>1/(1-POWER(1-$F63*$F$3*$F$9,Donnees!$D$4))</f>
        <v>114.72113838668551</v>
      </c>
      <c r="K63" s="10">
        <f>1/(1-POWER(1-$F63*$F$4*$F$8,Donnees!$D$4))</f>
        <v>21.333311604482738</v>
      </c>
      <c r="L63" s="10">
        <f>1/(1-POWER(1-$F63*$F$4*$F$9,Donnees!$D$4))</f>
        <v>188.16433183484756</v>
      </c>
      <c r="M63" s="12">
        <f>1/(1-POWER(1-$F63*$F$5*$F$8,Donnees!$D$4))</f>
        <v>42.185636143924029</v>
      </c>
      <c r="N63" s="12">
        <f>1/(1-POWER(1-$F63*$F$5*$F$9,Donnees!$D$4))</f>
        <v>375.85299923613218</v>
      </c>
      <c r="O63" s="6">
        <f>1/(1-POWER(1-$F63*$F$6*$F$8,Donnees!$D$4))</f>
        <v>125.60159038873364</v>
      </c>
      <c r="P63" s="6">
        <f>1/(1-POWER(1-$F63*$F$6*$F$9,Donnees!$D$4))</f>
        <v>1126.6084071499856</v>
      </c>
      <c r="Q63" s="16">
        <f>1/(1-POWER(1-$F63*$F$7*$F$8,Donnees!$D$4))</f>
        <v>876.35657638905536</v>
      </c>
      <c r="R63" s="16">
        <f>1/(1-POWER(1-$F63*$F$7*$F$9,Donnees!$D$4))</f>
        <v>7883.4083438508196</v>
      </c>
    </row>
    <row r="64" spans="1:18" x14ac:dyDescent="0.35">
      <c r="A64" t="s">
        <v>47</v>
      </c>
      <c r="B64" t="s">
        <v>559</v>
      </c>
      <c r="C64" t="s">
        <v>146</v>
      </c>
      <c r="D64" t="s">
        <v>52</v>
      </c>
      <c r="E64" s="3">
        <f>VLOOKUP(D64,$A$13:$F$16,5,FALSE)*_xlfn.XLOOKUP(Resultats!C64,Table1[name],Table1[cardRarityMultiplier])</f>
        <v>1.0416666666666666E-2</v>
      </c>
      <c r="F64" s="3">
        <f t="shared" si="4"/>
        <v>1.0483266240429404E-2</v>
      </c>
      <c r="G64" s="3">
        <f>1-POWER(1-E64,Donnees!$D$4)</f>
        <v>0.18895034296044488</v>
      </c>
      <c r="H64" s="3">
        <f t="shared" si="5"/>
        <v>5.2923957921015328</v>
      </c>
      <c r="I64" s="8">
        <f>1/(1-POWER(1-$F64*$F$3*$F$8,Donnees!$D$4))</f>
        <v>11.235256894630343</v>
      </c>
      <c r="J64" s="8">
        <f>1/(1-POWER(1-$F64*$F$3*$F$9,Donnees!$D$4))</f>
        <v>97.248442313271994</v>
      </c>
      <c r="K64" s="10">
        <f>1/(1-POWER(1-$F64*$F$4*$F$8,Donnees!$D$4))</f>
        <v>18.144548696683167</v>
      </c>
      <c r="L64" s="10">
        <f>1/(1-POWER(1-$F64*$F$4*$F$9,Donnees!$D$4))</f>
        <v>159.45905234658639</v>
      </c>
      <c r="M64" s="12">
        <f>1/(1-POWER(1-$F64*$F$5*$F$8,Donnees!$D$4))</f>
        <v>35.807027675609113</v>
      </c>
      <c r="N64" s="12">
        <f>1/(1-POWER(1-$F64*$F$5*$F$9,Donnees!$D$4))</f>
        <v>318.4423202704682</v>
      </c>
      <c r="O64" s="6">
        <f>1/(1-POWER(1-$F64*$F$6*$F$8,Donnees!$D$4))</f>
        <v>106.46480407108302</v>
      </c>
      <c r="P64" s="6">
        <f>1/(1-POWER(1-$F64*$F$6*$F$9,Donnees!$D$4))</f>
        <v>954.37626361541584</v>
      </c>
      <c r="Q64" s="16">
        <f>1/(1-POWER(1-$F64*$F$7*$F$8,Donnees!$D$4))</f>
        <v>742.39824929896793</v>
      </c>
      <c r="R64" s="16">
        <f>1/(1-POWER(1-$F64*$F$7*$F$9,Donnees!$D$4))</f>
        <v>6677.7832477698757</v>
      </c>
    </row>
    <row r="65" spans="1:18" x14ac:dyDescent="0.35">
      <c r="A65" t="s">
        <v>47</v>
      </c>
      <c r="B65" t="s">
        <v>568</v>
      </c>
      <c r="C65" t="s">
        <v>772</v>
      </c>
      <c r="D65" t="s">
        <v>52</v>
      </c>
      <c r="E65" s="3">
        <f>VLOOKUP(D65,$A$13:$F$16,5,FALSE)*_xlfn.XLOOKUP(Resultats!C65,Table1[name],Table1[cardRarityMultiplier])</f>
        <v>1.0416666666666666E-2</v>
      </c>
      <c r="F65" s="3">
        <f t="shared" si="4"/>
        <v>1.0483266240429404E-2</v>
      </c>
      <c r="G65" s="3">
        <f>1-POWER(1-E65,Donnees!$D$4)</f>
        <v>0.18895034296044488</v>
      </c>
      <c r="H65" s="3">
        <f t="shared" si="5"/>
        <v>5.2923957921015328</v>
      </c>
      <c r="I65" s="8">
        <f>1/(1-POWER(1-$F65*$F$3*$F$8,Donnees!$D$4))</f>
        <v>11.235256894630343</v>
      </c>
      <c r="J65" s="8">
        <f>1/(1-POWER(1-$F65*$F$3*$F$9,Donnees!$D$4))</f>
        <v>97.248442313271994</v>
      </c>
      <c r="K65" s="10">
        <f>1/(1-POWER(1-$F65*$F$4*$F$8,Donnees!$D$4))</f>
        <v>18.144548696683167</v>
      </c>
      <c r="L65" s="10">
        <f>1/(1-POWER(1-$F65*$F$4*$F$9,Donnees!$D$4))</f>
        <v>159.45905234658639</v>
      </c>
      <c r="M65" s="12">
        <f>1/(1-POWER(1-$F65*$F$5*$F$8,Donnees!$D$4))</f>
        <v>35.807027675609113</v>
      </c>
      <c r="N65" s="12">
        <f>1/(1-POWER(1-$F65*$F$5*$F$9,Donnees!$D$4))</f>
        <v>318.4423202704682</v>
      </c>
      <c r="O65" s="6">
        <f>1/(1-POWER(1-$F65*$F$6*$F$8,Donnees!$D$4))</f>
        <v>106.46480407108302</v>
      </c>
      <c r="P65" s="6">
        <f>1/(1-POWER(1-$F65*$F$6*$F$9,Donnees!$D$4))</f>
        <v>954.37626361541584</v>
      </c>
      <c r="Q65" s="16">
        <f>1/(1-POWER(1-$F65*$F$7*$F$8,Donnees!$D$4))</f>
        <v>742.39824929896793</v>
      </c>
      <c r="R65" s="16">
        <f>1/(1-POWER(1-$F65*$F$7*$F$9,Donnees!$D$4))</f>
        <v>6677.7832477698757</v>
      </c>
    </row>
    <row r="66" spans="1:18" x14ac:dyDescent="0.35">
      <c r="A66" t="s">
        <v>47</v>
      </c>
      <c r="B66" t="s">
        <v>574</v>
      </c>
      <c r="C66" t="s">
        <v>774</v>
      </c>
      <c r="D66" t="s">
        <v>52</v>
      </c>
      <c r="E66" s="3">
        <f>VLOOKUP(D66,$A$13:$F$16,5,FALSE)*_xlfn.XLOOKUP(Resultats!C66,Table1[name],Table1[cardRarityMultiplier])</f>
        <v>1.0416666666666666E-2</v>
      </c>
      <c r="F66" s="3">
        <f t="shared" si="4"/>
        <v>1.0483266240429404E-2</v>
      </c>
      <c r="G66" s="3">
        <f>1-POWER(1-E66,Donnees!$D$4)</f>
        <v>0.18895034296044488</v>
      </c>
      <c r="H66" s="3">
        <f t="shared" si="5"/>
        <v>5.2923957921015328</v>
      </c>
      <c r="I66" s="8">
        <f>1/(1-POWER(1-$F66*$F$3*$F$8,Donnees!$D$4))</f>
        <v>11.235256894630343</v>
      </c>
      <c r="J66" s="8">
        <f>1/(1-POWER(1-$F66*$F$3*$F$9,Donnees!$D$4))</f>
        <v>97.248442313271994</v>
      </c>
      <c r="K66" s="10">
        <f>1/(1-POWER(1-$F66*$F$4*$F$8,Donnees!$D$4))</f>
        <v>18.144548696683167</v>
      </c>
      <c r="L66" s="10">
        <f>1/(1-POWER(1-$F66*$F$4*$F$9,Donnees!$D$4))</f>
        <v>159.45905234658639</v>
      </c>
      <c r="M66" s="12">
        <f>1/(1-POWER(1-$F66*$F$5*$F$8,Donnees!$D$4))</f>
        <v>35.807027675609113</v>
      </c>
      <c r="N66" s="12">
        <f>1/(1-POWER(1-$F66*$F$5*$F$9,Donnees!$D$4))</f>
        <v>318.4423202704682</v>
      </c>
      <c r="O66" s="6">
        <f>1/(1-POWER(1-$F66*$F$6*$F$8,Donnees!$D$4))</f>
        <v>106.46480407108302</v>
      </c>
      <c r="P66" s="6">
        <f>1/(1-POWER(1-$F66*$F$6*$F$9,Donnees!$D$4))</f>
        <v>954.37626361541584</v>
      </c>
      <c r="Q66" s="16">
        <f>1/(1-POWER(1-$F66*$F$7*$F$8,Donnees!$D$4))</f>
        <v>742.39824929896793</v>
      </c>
      <c r="R66" s="16">
        <f>1/(1-POWER(1-$F66*$F$7*$F$9,Donnees!$D$4))</f>
        <v>6677.7832477698757</v>
      </c>
    </row>
    <row r="67" spans="1:18" x14ac:dyDescent="0.35">
      <c r="A67" t="s">
        <v>47</v>
      </c>
      <c r="B67" t="s">
        <v>580</v>
      </c>
      <c r="C67" t="s">
        <v>775</v>
      </c>
      <c r="D67" t="s">
        <v>52</v>
      </c>
      <c r="E67" s="3">
        <f>VLOOKUP(D67,$A$13:$F$16,5,FALSE)*_xlfn.XLOOKUP(Resultats!C67,Table1[name],Table1[cardRarityMultiplier])</f>
        <v>1.0416666666666666E-2</v>
      </c>
      <c r="F67" s="3">
        <f t="shared" si="4"/>
        <v>1.0483266240429404E-2</v>
      </c>
      <c r="G67" s="3">
        <f>1-POWER(1-E67,Donnees!$D$4)</f>
        <v>0.18895034296044488</v>
      </c>
      <c r="H67" s="3">
        <f t="shared" si="5"/>
        <v>5.2923957921015328</v>
      </c>
      <c r="I67" s="8">
        <f>1/(1-POWER(1-$F67*$F$3*$F$8,Donnees!$D$4))</f>
        <v>11.235256894630343</v>
      </c>
      <c r="J67" s="8">
        <f>1/(1-POWER(1-$F67*$F$3*$F$9,Donnees!$D$4))</f>
        <v>97.248442313271994</v>
      </c>
      <c r="K67" s="10">
        <f>1/(1-POWER(1-$F67*$F$4*$F$8,Donnees!$D$4))</f>
        <v>18.144548696683167</v>
      </c>
      <c r="L67" s="10">
        <f>1/(1-POWER(1-$F67*$F$4*$F$9,Donnees!$D$4))</f>
        <v>159.45905234658639</v>
      </c>
      <c r="M67" s="12">
        <f>1/(1-POWER(1-$F67*$F$5*$F$8,Donnees!$D$4))</f>
        <v>35.807027675609113</v>
      </c>
      <c r="N67" s="12">
        <f>1/(1-POWER(1-$F67*$F$5*$F$9,Donnees!$D$4))</f>
        <v>318.4423202704682</v>
      </c>
      <c r="O67" s="6">
        <f>1/(1-POWER(1-$F67*$F$6*$F$8,Donnees!$D$4))</f>
        <v>106.46480407108302</v>
      </c>
      <c r="P67" s="6">
        <f>1/(1-POWER(1-$F67*$F$6*$F$9,Donnees!$D$4))</f>
        <v>954.37626361541584</v>
      </c>
      <c r="Q67" s="16">
        <f>1/(1-POWER(1-$F67*$F$7*$F$8,Donnees!$D$4))</f>
        <v>742.39824929896793</v>
      </c>
      <c r="R67" s="16">
        <f>1/(1-POWER(1-$F67*$F$7*$F$9,Donnees!$D$4))</f>
        <v>6677.7832477698757</v>
      </c>
    </row>
    <row r="68" spans="1:18" x14ac:dyDescent="0.35">
      <c r="A68" t="s">
        <v>47</v>
      </c>
      <c r="B68" t="s">
        <v>592</v>
      </c>
      <c r="C68" t="s">
        <v>593</v>
      </c>
      <c r="D68" t="s">
        <v>52</v>
      </c>
      <c r="E68" s="3">
        <f>VLOOKUP(D68,$A$13:$F$16,5,FALSE)*_xlfn.XLOOKUP(Resultats!C68,Table1[name],Table1[cardRarityMultiplier])</f>
        <v>1.0416666666666666E-2</v>
      </c>
      <c r="F68" s="3">
        <f t="shared" si="4"/>
        <v>1.0483266240429404E-2</v>
      </c>
      <c r="G68" s="3">
        <f>1-POWER(1-E68,Donnees!$D$4)</f>
        <v>0.18895034296044488</v>
      </c>
      <c r="H68" s="3">
        <f t="shared" si="5"/>
        <v>5.2923957921015328</v>
      </c>
      <c r="I68" s="8">
        <f>1/(1-POWER(1-$F68*$F$3*$F$8,Donnees!$D$4))</f>
        <v>11.235256894630343</v>
      </c>
      <c r="J68" s="8">
        <f>1/(1-POWER(1-$F68*$F$3*$F$9,Donnees!$D$4))</f>
        <v>97.248442313271994</v>
      </c>
      <c r="K68" s="10">
        <f>1/(1-POWER(1-$F68*$F$4*$F$8,Donnees!$D$4))</f>
        <v>18.144548696683167</v>
      </c>
      <c r="L68" s="10">
        <f>1/(1-POWER(1-$F68*$F$4*$F$9,Donnees!$D$4))</f>
        <v>159.45905234658639</v>
      </c>
      <c r="M68" s="12">
        <f>1/(1-POWER(1-$F68*$F$5*$F$8,Donnees!$D$4))</f>
        <v>35.807027675609113</v>
      </c>
      <c r="N68" s="12">
        <f>1/(1-POWER(1-$F68*$F$5*$F$9,Donnees!$D$4))</f>
        <v>318.4423202704682</v>
      </c>
      <c r="O68" s="6">
        <f>1/(1-POWER(1-$F68*$F$6*$F$8,Donnees!$D$4))</f>
        <v>106.46480407108302</v>
      </c>
      <c r="P68" s="6">
        <f>1/(1-POWER(1-$F68*$F$6*$F$9,Donnees!$D$4))</f>
        <v>954.37626361541584</v>
      </c>
      <c r="Q68" s="16">
        <f>1/(1-POWER(1-$F68*$F$7*$F$8,Donnees!$D$4))</f>
        <v>742.39824929896793</v>
      </c>
      <c r="R68" s="16">
        <f>1/(1-POWER(1-$F68*$F$7*$F$9,Donnees!$D$4))</f>
        <v>6677.7832477698757</v>
      </c>
    </row>
    <row r="69" spans="1:18" x14ac:dyDescent="0.35">
      <c r="A69" t="s">
        <v>47</v>
      </c>
      <c r="B69" t="s">
        <v>603</v>
      </c>
      <c r="C69" t="s">
        <v>503</v>
      </c>
      <c r="D69" t="s">
        <v>52</v>
      </c>
      <c r="E69" s="3">
        <f>VLOOKUP(D69,$A$13:$F$16,5,FALSE)*_xlfn.XLOOKUP(Resultats!C69,Table1[name],Table1[cardRarityMultiplier])</f>
        <v>1.0416666666666666E-2</v>
      </c>
      <c r="F69" s="3">
        <f t="shared" si="4"/>
        <v>1.0483266240429404E-2</v>
      </c>
      <c r="G69" s="3">
        <f>1-POWER(1-E69,Donnees!$D$4)</f>
        <v>0.18895034296044488</v>
      </c>
      <c r="H69" s="3">
        <f t="shared" si="5"/>
        <v>5.2923957921015328</v>
      </c>
      <c r="I69" s="8">
        <f>1/(1-POWER(1-$F69*$F$3*$F$8,Donnees!$D$4))</f>
        <v>11.235256894630343</v>
      </c>
      <c r="J69" s="8">
        <f>1/(1-POWER(1-$F69*$F$3*$F$9,Donnees!$D$4))</f>
        <v>97.248442313271994</v>
      </c>
      <c r="K69" s="10">
        <f>1/(1-POWER(1-$F69*$F$4*$F$8,Donnees!$D$4))</f>
        <v>18.144548696683167</v>
      </c>
      <c r="L69" s="10">
        <f>1/(1-POWER(1-$F69*$F$4*$F$9,Donnees!$D$4))</f>
        <v>159.45905234658639</v>
      </c>
      <c r="M69" s="12">
        <f>1/(1-POWER(1-$F69*$F$5*$F$8,Donnees!$D$4))</f>
        <v>35.807027675609113</v>
      </c>
      <c r="N69" s="12">
        <f>1/(1-POWER(1-$F69*$F$5*$F$9,Donnees!$D$4))</f>
        <v>318.4423202704682</v>
      </c>
      <c r="O69" s="6">
        <f>1/(1-POWER(1-$F69*$F$6*$F$8,Donnees!$D$4))</f>
        <v>106.46480407108302</v>
      </c>
      <c r="P69" s="6">
        <f>1/(1-POWER(1-$F69*$F$6*$F$9,Donnees!$D$4))</f>
        <v>954.37626361541584</v>
      </c>
      <c r="Q69" s="16">
        <f>1/(1-POWER(1-$F69*$F$7*$F$8,Donnees!$D$4))</f>
        <v>742.39824929896793</v>
      </c>
      <c r="R69" s="16">
        <f>1/(1-POWER(1-$F69*$F$7*$F$9,Donnees!$D$4))</f>
        <v>6677.7832477698757</v>
      </c>
    </row>
    <row r="70" spans="1:18" x14ac:dyDescent="0.35">
      <c r="B70" t="s">
        <v>962</v>
      </c>
      <c r="C70" t="s">
        <v>807</v>
      </c>
      <c r="D70" t="s">
        <v>305</v>
      </c>
      <c r="E70" s="3">
        <f>VLOOKUP(D70,$A$13:$F$16,5,FALSE)*_xlfn.XLOOKUP(Resultats!C70,Table1[name],Table1[cardRarityMultiplier])</f>
        <v>8.8235294117647058E-3</v>
      </c>
      <c r="F70" s="3">
        <f t="shared" si="4"/>
        <v>8.8799431683637305E-3</v>
      </c>
      <c r="G70" s="3">
        <f>1-POWER(1-E70,Donnees!$D$4)</f>
        <v>0.16243277107126597</v>
      </c>
      <c r="H70" s="3">
        <f t="shared" ref="H70:H117" si="6">1/G70</f>
        <v>6.1563931551796198</v>
      </c>
      <c r="I70" s="8">
        <f>1/(1-POWER(1-$F70*$F$3*$F$8,Donnees!$D$4))</f>
        <v>13.175495165058894</v>
      </c>
      <c r="J70" s="8">
        <f>1/(1-POWER(1-$F70*$F$3*$F$9,Donnees!$D$4))</f>
        <v>114.72113838668551</v>
      </c>
      <c r="K70" s="10">
        <f>1/(1-POWER(1-$F70*$F$4*$F$8,Donnees!$D$4))</f>
        <v>21.333311604482738</v>
      </c>
      <c r="L70" s="10">
        <f>1/(1-POWER(1-$F70*$F$4*$F$9,Donnees!$D$4))</f>
        <v>188.16433183484756</v>
      </c>
      <c r="M70" s="12">
        <f>1/(1-POWER(1-$F70*$F$5*$F$8,Donnees!$D$4))</f>
        <v>42.185636143924029</v>
      </c>
      <c r="N70" s="12">
        <f>1/(1-POWER(1-$F70*$F$5*$F$9,Donnees!$D$4))</f>
        <v>375.85299923613218</v>
      </c>
      <c r="O70" s="6">
        <f>1/(1-POWER(1-$F70*$F$6*$F$8,Donnees!$D$4))</f>
        <v>125.60159038873364</v>
      </c>
      <c r="P70" s="6">
        <f>1/(1-POWER(1-$F70*$F$6*$F$9,Donnees!$D$4))</f>
        <v>1126.6084071499856</v>
      </c>
      <c r="Q70" s="16">
        <f>1/(1-POWER(1-$F70*$F$7*$F$8,Donnees!$D$4))</f>
        <v>876.35657638905536</v>
      </c>
      <c r="R70" s="16">
        <f>1/(1-POWER(1-$F70*$F$7*$F$9,Donnees!$D$4))</f>
        <v>7883.4083438508196</v>
      </c>
    </row>
    <row r="71" spans="1:18" x14ac:dyDescent="0.35">
      <c r="B71" t="s">
        <v>963</v>
      </c>
      <c r="C71" t="s">
        <v>812</v>
      </c>
      <c r="D71" t="s">
        <v>305</v>
      </c>
      <c r="E71" s="3">
        <f>VLOOKUP(D71,$A$13:$F$16,5,FALSE)*_xlfn.XLOOKUP(Resultats!C71,Table1[name],Table1[cardRarityMultiplier])</f>
        <v>8.8235294117647058E-3</v>
      </c>
      <c r="F71" s="3">
        <f t="shared" si="4"/>
        <v>8.8799431683637305E-3</v>
      </c>
      <c r="G71" s="3">
        <f>1-POWER(1-E71,Donnees!$D$4)</f>
        <v>0.16243277107126597</v>
      </c>
      <c r="H71" s="3">
        <f t="shared" si="6"/>
        <v>6.1563931551796198</v>
      </c>
      <c r="I71" s="8">
        <f>1/(1-POWER(1-$F71*$F$3*$F$8,Donnees!$D$4))</f>
        <v>13.175495165058894</v>
      </c>
      <c r="J71" s="8">
        <f>1/(1-POWER(1-$F71*$F$3*$F$9,Donnees!$D$4))</f>
        <v>114.72113838668551</v>
      </c>
      <c r="K71" s="10">
        <f>1/(1-POWER(1-$F71*$F$4*$F$8,Donnees!$D$4))</f>
        <v>21.333311604482738</v>
      </c>
      <c r="L71" s="10">
        <f>1/(1-POWER(1-$F71*$F$4*$F$9,Donnees!$D$4))</f>
        <v>188.16433183484756</v>
      </c>
      <c r="M71" s="12">
        <f>1/(1-POWER(1-$F71*$F$5*$F$8,Donnees!$D$4))</f>
        <v>42.185636143924029</v>
      </c>
      <c r="N71" s="12">
        <f>1/(1-POWER(1-$F71*$F$5*$F$9,Donnees!$D$4))</f>
        <v>375.85299923613218</v>
      </c>
      <c r="O71" s="6">
        <f>1/(1-POWER(1-$F71*$F$6*$F$8,Donnees!$D$4))</f>
        <v>125.60159038873364</v>
      </c>
      <c r="P71" s="6">
        <f>1/(1-POWER(1-$F71*$F$6*$F$9,Donnees!$D$4))</f>
        <v>1126.6084071499856</v>
      </c>
      <c r="Q71" s="16">
        <f>1/(1-POWER(1-$F71*$F$7*$F$8,Donnees!$D$4))</f>
        <v>876.35657638905536</v>
      </c>
      <c r="R71" s="16">
        <f>1/(1-POWER(1-$F71*$F$7*$F$9,Donnees!$D$4))</f>
        <v>7883.4083438508196</v>
      </c>
    </row>
    <row r="72" spans="1:18" x14ac:dyDescent="0.35">
      <c r="B72" t="s">
        <v>964</v>
      </c>
      <c r="C72" t="s">
        <v>814</v>
      </c>
      <c r="D72" t="s">
        <v>128</v>
      </c>
      <c r="E72" s="3">
        <f>VLOOKUP(D72,$A$13:$F$16,5,FALSE)*_xlfn.XLOOKUP(Resultats!C72,Table1[name],Table1[cardRarityMultiplier])</f>
        <v>6.2500000000000003E-3</v>
      </c>
      <c r="F72" s="3">
        <f t="shared" si="4"/>
        <v>6.2899597442576428E-3</v>
      </c>
      <c r="G72" s="3">
        <f>1-POWER(1-E72,Donnees!$D$4)</f>
        <v>0.11784919800517701</v>
      </c>
      <c r="H72" s="3">
        <f t="shared" si="6"/>
        <v>8.4854204943852984</v>
      </c>
      <c r="I72" s="8">
        <f>1/(1-POWER(1-$F72*$F$3*$F$8,Donnees!$D$4))</f>
        <v>18.400493418649408</v>
      </c>
      <c r="J72" s="8">
        <f>1/(1-POWER(1-$F72*$F$3*$F$9,Donnees!$D$4))</f>
        <v>161.76315399679564</v>
      </c>
      <c r="K72" s="10">
        <f>1/(1-POWER(1-$F72*$F$4*$F$8,Donnees!$D$4))</f>
        <v>29.919220086827341</v>
      </c>
      <c r="L72" s="10">
        <f>1/(1-POWER(1-$F72*$F$4*$F$9,Donnees!$D$4))</f>
        <v>265.44786276089866</v>
      </c>
      <c r="M72" s="12">
        <f>1/(1-POWER(1-$F72*$F$5*$F$8,Donnees!$D$4))</f>
        <v>59.359200966760184</v>
      </c>
      <c r="N72" s="12">
        <f>1/(1-POWER(1-$F72*$F$5*$F$9,Donnees!$D$4))</f>
        <v>530.42025490253059</v>
      </c>
      <c r="O72" s="6">
        <f>1/(1-POWER(1-$F72*$F$6*$F$8,Donnees!$D$4))</f>
        <v>177.12383664707096</v>
      </c>
      <c r="P72" s="6">
        <f>1/(1-POWER(1-$F72*$F$6*$F$9,Donnees!$D$4))</f>
        <v>1590.3103464032965</v>
      </c>
      <c r="Q72" s="16">
        <f>1/(1-POWER(1-$F72*$F$7*$F$8,Donnees!$D$4))</f>
        <v>1237.013629317039</v>
      </c>
      <c r="R72" s="16">
        <f>1/(1-POWER(1-$F72*$F$7*$F$9,Donnees!$D$4))</f>
        <v>11129.322066265169</v>
      </c>
    </row>
    <row r="73" spans="1:18" x14ac:dyDescent="0.35">
      <c r="B73" t="s">
        <v>965</v>
      </c>
      <c r="C73" t="s">
        <v>816</v>
      </c>
      <c r="D73" t="s">
        <v>128</v>
      </c>
      <c r="E73" s="3">
        <f>VLOOKUP(D73,$A$13:$F$16,5,FALSE)*_xlfn.XLOOKUP(Resultats!C73,Table1[name],Table1[cardRarityMultiplier])</f>
        <v>6.2500000000000003E-3</v>
      </c>
      <c r="F73" s="3">
        <f t="shared" si="4"/>
        <v>6.2899597442576428E-3</v>
      </c>
      <c r="G73" s="3">
        <f>1-POWER(1-E73,Donnees!$D$4)</f>
        <v>0.11784919800517701</v>
      </c>
      <c r="H73" s="3">
        <f t="shared" si="6"/>
        <v>8.4854204943852984</v>
      </c>
      <c r="I73" s="8">
        <f>1/(1-POWER(1-$F73*$F$3*$F$8,Donnees!$D$4))</f>
        <v>18.400493418649408</v>
      </c>
      <c r="J73" s="8">
        <f>1/(1-POWER(1-$F73*$F$3*$F$9,Donnees!$D$4))</f>
        <v>161.76315399679564</v>
      </c>
      <c r="K73" s="10">
        <f>1/(1-POWER(1-$F73*$F$4*$F$8,Donnees!$D$4))</f>
        <v>29.919220086827341</v>
      </c>
      <c r="L73" s="10">
        <f>1/(1-POWER(1-$F73*$F$4*$F$9,Donnees!$D$4))</f>
        <v>265.44786276089866</v>
      </c>
      <c r="M73" s="12">
        <f>1/(1-POWER(1-$F73*$F$5*$F$8,Donnees!$D$4))</f>
        <v>59.359200966760184</v>
      </c>
      <c r="N73" s="12">
        <f>1/(1-POWER(1-$F73*$F$5*$F$9,Donnees!$D$4))</f>
        <v>530.42025490253059</v>
      </c>
      <c r="O73" s="6">
        <f>1/(1-POWER(1-$F73*$F$6*$F$8,Donnees!$D$4))</f>
        <v>177.12383664707096</v>
      </c>
      <c r="P73" s="6">
        <f>1/(1-POWER(1-$F73*$F$6*$F$9,Donnees!$D$4))</f>
        <v>1590.3103464032965</v>
      </c>
      <c r="Q73" s="16">
        <f>1/(1-POWER(1-$F73*$F$7*$F$8,Donnees!$D$4))</f>
        <v>1237.013629317039</v>
      </c>
      <c r="R73" s="16">
        <f>1/(1-POWER(1-$F73*$F$7*$F$9,Donnees!$D$4))</f>
        <v>11129.322066265169</v>
      </c>
    </row>
    <row r="74" spans="1:18" x14ac:dyDescent="0.35">
      <c r="B74" t="s">
        <v>966</v>
      </c>
      <c r="C74" t="s">
        <v>818</v>
      </c>
      <c r="D74" t="s">
        <v>128</v>
      </c>
      <c r="E74" s="3">
        <f>VLOOKUP(D74,$A$13:$F$16,5,FALSE)*_xlfn.XLOOKUP(Resultats!C74,Table1[name],Table1[cardRarityMultiplier])</f>
        <v>6.2500000000000003E-3</v>
      </c>
      <c r="F74" s="3">
        <f t="shared" si="4"/>
        <v>6.2899597442576428E-3</v>
      </c>
      <c r="G74" s="3">
        <f>1-POWER(1-E74,Donnees!$D$4)</f>
        <v>0.11784919800517701</v>
      </c>
      <c r="H74" s="3">
        <f t="shared" si="6"/>
        <v>8.4854204943852984</v>
      </c>
      <c r="I74" s="8">
        <f>1/(1-POWER(1-$F74*$F$3*$F$8,Donnees!$D$4))</f>
        <v>18.400493418649408</v>
      </c>
      <c r="J74" s="8">
        <f>1/(1-POWER(1-$F74*$F$3*$F$9,Donnees!$D$4))</f>
        <v>161.76315399679564</v>
      </c>
      <c r="K74" s="10">
        <f>1/(1-POWER(1-$F74*$F$4*$F$8,Donnees!$D$4))</f>
        <v>29.919220086827341</v>
      </c>
      <c r="L74" s="10">
        <f>1/(1-POWER(1-$F74*$F$4*$F$9,Donnees!$D$4))</f>
        <v>265.44786276089866</v>
      </c>
      <c r="M74" s="12">
        <f>1/(1-POWER(1-$F74*$F$5*$F$8,Donnees!$D$4))</f>
        <v>59.359200966760184</v>
      </c>
      <c r="N74" s="12">
        <f>1/(1-POWER(1-$F74*$F$5*$F$9,Donnees!$D$4))</f>
        <v>530.42025490253059</v>
      </c>
      <c r="O74" s="6">
        <f>1/(1-POWER(1-$F74*$F$6*$F$8,Donnees!$D$4))</f>
        <v>177.12383664707096</v>
      </c>
      <c r="P74" s="6">
        <f>1/(1-POWER(1-$F74*$F$6*$F$9,Donnees!$D$4))</f>
        <v>1590.3103464032965</v>
      </c>
      <c r="Q74" s="16">
        <f>1/(1-POWER(1-$F74*$F$7*$F$8,Donnees!$D$4))</f>
        <v>1237.013629317039</v>
      </c>
      <c r="R74" s="16">
        <f>1/(1-POWER(1-$F74*$F$7*$F$9,Donnees!$D$4))</f>
        <v>11129.322066265169</v>
      </c>
    </row>
    <row r="75" spans="1:18" x14ac:dyDescent="0.35">
      <c r="B75" t="s">
        <v>967</v>
      </c>
      <c r="C75" t="s">
        <v>821</v>
      </c>
      <c r="D75" t="s">
        <v>128</v>
      </c>
      <c r="E75" s="3">
        <f>VLOOKUP(D75,$A$13:$F$16,5,FALSE)*_xlfn.XLOOKUP(Resultats!C75,Table1[name],Table1[cardRarityMultiplier])</f>
        <v>6.2500000000000003E-3</v>
      </c>
      <c r="F75" s="3">
        <f t="shared" si="4"/>
        <v>6.2899597442576428E-3</v>
      </c>
      <c r="G75" s="3">
        <f>1-POWER(1-E75,Donnees!$D$4)</f>
        <v>0.11784919800517701</v>
      </c>
      <c r="H75" s="3">
        <f t="shared" si="6"/>
        <v>8.4854204943852984</v>
      </c>
      <c r="I75" s="8">
        <f>1/(1-POWER(1-$F75*$F$3*$F$8,Donnees!$D$4))</f>
        <v>18.400493418649408</v>
      </c>
      <c r="J75" s="8">
        <f>1/(1-POWER(1-$F75*$F$3*$F$9,Donnees!$D$4))</f>
        <v>161.76315399679564</v>
      </c>
      <c r="K75" s="10">
        <f>1/(1-POWER(1-$F75*$F$4*$F$8,Donnees!$D$4))</f>
        <v>29.919220086827341</v>
      </c>
      <c r="L75" s="10">
        <f>1/(1-POWER(1-$F75*$F$4*$F$9,Donnees!$D$4))</f>
        <v>265.44786276089866</v>
      </c>
      <c r="M75" s="12">
        <f>1/(1-POWER(1-$F75*$F$5*$F$8,Donnees!$D$4))</f>
        <v>59.359200966760184</v>
      </c>
      <c r="N75" s="12">
        <f>1/(1-POWER(1-$F75*$F$5*$F$9,Donnees!$D$4))</f>
        <v>530.42025490253059</v>
      </c>
      <c r="O75" s="6">
        <f>1/(1-POWER(1-$F75*$F$6*$F$8,Donnees!$D$4))</f>
        <v>177.12383664707096</v>
      </c>
      <c r="P75" s="6">
        <f>1/(1-POWER(1-$F75*$F$6*$F$9,Donnees!$D$4))</f>
        <v>1590.3103464032965</v>
      </c>
      <c r="Q75" s="16">
        <f>1/(1-POWER(1-$F75*$F$7*$F$8,Donnees!$D$4))</f>
        <v>1237.013629317039</v>
      </c>
      <c r="R75" s="16">
        <f>1/(1-POWER(1-$F75*$F$7*$F$9,Donnees!$D$4))</f>
        <v>11129.322066265169</v>
      </c>
    </row>
    <row r="76" spans="1:18" x14ac:dyDescent="0.35">
      <c r="B76" t="s">
        <v>968</v>
      </c>
      <c r="C76" t="s">
        <v>824</v>
      </c>
      <c r="D76" t="s">
        <v>305</v>
      </c>
      <c r="E76" s="3">
        <f>VLOOKUP(D76,$A$13:$F$16,5,FALSE)*_xlfn.XLOOKUP(Resultats!C76,Table1[name],Table1[cardRarityMultiplier])</f>
        <v>8.8235294117647058E-3</v>
      </c>
      <c r="F76" s="3">
        <f t="shared" si="4"/>
        <v>8.8799431683637305E-3</v>
      </c>
      <c r="G76" s="3">
        <f>1-POWER(1-E76,Donnees!$D$4)</f>
        <v>0.16243277107126597</v>
      </c>
      <c r="H76" s="3">
        <f t="shared" si="6"/>
        <v>6.1563931551796198</v>
      </c>
      <c r="I76" s="8">
        <f>1/(1-POWER(1-$F76*$F$3*$F$8,Donnees!$D$4))</f>
        <v>13.175495165058894</v>
      </c>
      <c r="J76" s="8">
        <f>1/(1-POWER(1-$F76*$F$3*$F$9,Donnees!$D$4))</f>
        <v>114.72113838668551</v>
      </c>
      <c r="K76" s="10">
        <f>1/(1-POWER(1-$F76*$F$4*$F$8,Donnees!$D$4))</f>
        <v>21.333311604482738</v>
      </c>
      <c r="L76" s="10">
        <f>1/(1-POWER(1-$F76*$F$4*$F$9,Donnees!$D$4))</f>
        <v>188.16433183484756</v>
      </c>
      <c r="M76" s="12">
        <f>1/(1-POWER(1-$F76*$F$5*$F$8,Donnees!$D$4))</f>
        <v>42.185636143924029</v>
      </c>
      <c r="N76" s="12">
        <f>1/(1-POWER(1-$F76*$F$5*$F$9,Donnees!$D$4))</f>
        <v>375.85299923613218</v>
      </c>
      <c r="O76" s="6">
        <f>1/(1-POWER(1-$F76*$F$6*$F$8,Donnees!$D$4))</f>
        <v>125.60159038873364</v>
      </c>
      <c r="P76" s="6">
        <f>1/(1-POWER(1-$F76*$F$6*$F$9,Donnees!$D$4))</f>
        <v>1126.6084071499856</v>
      </c>
      <c r="Q76" s="16">
        <f>1/(1-POWER(1-$F76*$F$7*$F$8,Donnees!$D$4))</f>
        <v>876.35657638905536</v>
      </c>
      <c r="R76" s="16">
        <f>1/(1-POWER(1-$F76*$F$7*$F$9,Donnees!$D$4))</f>
        <v>7883.4083438508196</v>
      </c>
    </row>
    <row r="77" spans="1:18" x14ac:dyDescent="0.35">
      <c r="B77" t="s">
        <v>969</v>
      </c>
      <c r="C77" t="s">
        <v>827</v>
      </c>
      <c r="D77" t="s">
        <v>305</v>
      </c>
      <c r="E77" s="3">
        <f>VLOOKUP(D77,$A$13:$F$16,5,FALSE)*_xlfn.XLOOKUP(Resultats!C77,Table1[name],Table1[cardRarityMultiplier])</f>
        <v>8.8235294117647058E-3</v>
      </c>
      <c r="F77" s="3">
        <f t="shared" si="4"/>
        <v>8.8799431683637305E-3</v>
      </c>
      <c r="G77" s="3">
        <f>1-POWER(1-E77,Donnees!$D$4)</f>
        <v>0.16243277107126597</v>
      </c>
      <c r="H77" s="3">
        <f t="shared" si="6"/>
        <v>6.1563931551796198</v>
      </c>
      <c r="I77" s="8">
        <f>1/(1-POWER(1-$F77*$F$3*$F$8,Donnees!$D$4))</f>
        <v>13.175495165058894</v>
      </c>
      <c r="J77" s="8">
        <f>1/(1-POWER(1-$F77*$F$3*$F$9,Donnees!$D$4))</f>
        <v>114.72113838668551</v>
      </c>
      <c r="K77" s="10">
        <f>1/(1-POWER(1-$F77*$F$4*$F$8,Donnees!$D$4))</f>
        <v>21.333311604482738</v>
      </c>
      <c r="L77" s="10">
        <f>1/(1-POWER(1-$F77*$F$4*$F$9,Donnees!$D$4))</f>
        <v>188.16433183484756</v>
      </c>
      <c r="M77" s="12">
        <f>1/(1-POWER(1-$F77*$F$5*$F$8,Donnees!$D$4))</f>
        <v>42.185636143924029</v>
      </c>
      <c r="N77" s="12">
        <f>1/(1-POWER(1-$F77*$F$5*$F$9,Donnees!$D$4))</f>
        <v>375.85299923613218</v>
      </c>
      <c r="O77" s="6">
        <f>1/(1-POWER(1-$F77*$F$6*$F$8,Donnees!$D$4))</f>
        <v>125.60159038873364</v>
      </c>
      <c r="P77" s="6">
        <f>1/(1-POWER(1-$F77*$F$6*$F$9,Donnees!$D$4))</f>
        <v>1126.6084071499856</v>
      </c>
      <c r="Q77" s="16">
        <f>1/(1-POWER(1-$F77*$F$7*$F$8,Donnees!$D$4))</f>
        <v>876.35657638905536</v>
      </c>
      <c r="R77" s="16">
        <f>1/(1-POWER(1-$F77*$F$7*$F$9,Donnees!$D$4))</f>
        <v>7883.4083438508196</v>
      </c>
    </row>
    <row r="78" spans="1:18" x14ac:dyDescent="0.35">
      <c r="B78" t="s">
        <v>970</v>
      </c>
      <c r="C78" t="s">
        <v>829</v>
      </c>
      <c r="D78" t="s">
        <v>52</v>
      </c>
      <c r="E78" s="3">
        <f>VLOOKUP(D78,$A$13:$F$16,5,FALSE)*_xlfn.XLOOKUP(Resultats!C78,Table1[name],Table1[cardRarityMultiplier])</f>
        <v>1.0416666666666666E-2</v>
      </c>
      <c r="F78" s="3">
        <f t="shared" si="4"/>
        <v>1.0483266240429404E-2</v>
      </c>
      <c r="G78" s="3">
        <f>1-POWER(1-E78,Donnees!$D$4)</f>
        <v>0.18895034296044488</v>
      </c>
      <c r="H78" s="3">
        <f t="shared" si="6"/>
        <v>5.2923957921015328</v>
      </c>
      <c r="I78" s="8">
        <f>1/(1-POWER(1-$F78*$F$3*$F$8,Donnees!$D$4))</f>
        <v>11.235256894630343</v>
      </c>
      <c r="J78" s="8">
        <f>1/(1-POWER(1-$F78*$F$3*$F$9,Donnees!$D$4))</f>
        <v>97.248442313271994</v>
      </c>
      <c r="K78" s="10">
        <f>1/(1-POWER(1-$F78*$F$4*$F$8,Donnees!$D$4))</f>
        <v>18.144548696683167</v>
      </c>
      <c r="L78" s="10">
        <f>1/(1-POWER(1-$F78*$F$4*$F$9,Donnees!$D$4))</f>
        <v>159.45905234658639</v>
      </c>
      <c r="M78" s="12">
        <f>1/(1-POWER(1-$F78*$F$5*$F$8,Donnees!$D$4))</f>
        <v>35.807027675609113</v>
      </c>
      <c r="N78" s="12">
        <f>1/(1-POWER(1-$F78*$F$5*$F$9,Donnees!$D$4))</f>
        <v>318.4423202704682</v>
      </c>
      <c r="O78" s="6">
        <f>1/(1-POWER(1-$F78*$F$6*$F$8,Donnees!$D$4))</f>
        <v>106.46480407108302</v>
      </c>
      <c r="P78" s="6">
        <f>1/(1-POWER(1-$F78*$F$6*$F$9,Donnees!$D$4))</f>
        <v>954.37626361541584</v>
      </c>
      <c r="Q78" s="16">
        <f>1/(1-POWER(1-$F78*$F$7*$F$8,Donnees!$D$4))</f>
        <v>742.39824929896793</v>
      </c>
      <c r="R78" s="16">
        <f>1/(1-POWER(1-$F78*$F$7*$F$9,Donnees!$D$4))</f>
        <v>6677.7832477698757</v>
      </c>
    </row>
    <row r="79" spans="1:18" x14ac:dyDescent="0.35">
      <c r="B79" t="s">
        <v>971</v>
      </c>
      <c r="C79" t="s">
        <v>832</v>
      </c>
      <c r="D79" t="s">
        <v>70</v>
      </c>
      <c r="E79" s="3">
        <f>VLOOKUP(D79,$A$13:$F$16,5,FALSE)*_xlfn.XLOOKUP(Resultats!C79,Table1[name],Table1[cardRarityMultiplier])</f>
        <v>1.2E-2</v>
      </c>
      <c r="F79" s="3">
        <f t="shared" si="4"/>
        <v>1.2076722708974674E-2</v>
      </c>
      <c r="G79" s="3">
        <f>1-POWER(1-E79,Donnees!$D$4)</f>
        <v>0.21451319895896026</v>
      </c>
      <c r="H79" s="3">
        <f t="shared" si="6"/>
        <v>4.6617178096873921</v>
      </c>
      <c r="I79" s="8">
        <f>1/(1-POWER(1-$F79*$F$3*$F$8,Donnees!$D$4))</f>
        <v>9.8177034242507268</v>
      </c>
      <c r="J79" s="8">
        <f>1/(1-POWER(1-$F79*$F$3*$F$9,Donnees!$D$4))</f>
        <v>84.479968231682932</v>
      </c>
      <c r="K79" s="10">
        <f>1/(1-POWER(1-$F79*$F$4*$F$8,Donnees!$D$4))</f>
        <v>15.814488958922057</v>
      </c>
      <c r="L79" s="10">
        <f>1/(1-POWER(1-$F79*$F$4*$F$9,Donnees!$D$4))</f>
        <v>138.48213838284252</v>
      </c>
      <c r="M79" s="12">
        <f>1/(1-POWER(1-$F79*$F$5*$F$8,Donnees!$D$4))</f>
        <v>31.145831732597358</v>
      </c>
      <c r="N79" s="12">
        <f>1/(1-POWER(1-$F79*$F$5*$F$9,Donnees!$D$4))</f>
        <v>276.48837308590822</v>
      </c>
      <c r="O79" s="6">
        <f>1/(1-POWER(1-$F79*$F$6*$F$8,Donnees!$D$4))</f>
        <v>92.480261032095697</v>
      </c>
      <c r="P79" s="6">
        <f>1/(1-POWER(1-$F79*$F$6*$F$9,Donnees!$D$4))</f>
        <v>828.51431607704581</v>
      </c>
      <c r="Q79" s="16">
        <f>1/(1-POWER(1-$F79*$F$7*$F$8,Donnees!$D$4))</f>
        <v>644.50563016443709</v>
      </c>
      <c r="R79" s="16">
        <f>1/(1-POWER(1-$F79*$F$7*$F$9,Donnees!$D$4))</f>
        <v>5796.7495240968374</v>
      </c>
    </row>
    <row r="80" spans="1:18" x14ac:dyDescent="0.35">
      <c r="B80" t="s">
        <v>972</v>
      </c>
      <c r="C80" t="s">
        <v>834</v>
      </c>
      <c r="D80" t="s">
        <v>52</v>
      </c>
      <c r="E80" s="3">
        <f>VLOOKUP(D80,$A$13:$F$16,5,FALSE)*_xlfn.XLOOKUP(Resultats!C80,Table1[name],Table1[cardRarityMultiplier])</f>
        <v>1.0416666666666666E-2</v>
      </c>
      <c r="F80" s="3">
        <f t="shared" si="4"/>
        <v>1.0483266240429404E-2</v>
      </c>
      <c r="G80" s="3">
        <f>1-POWER(1-E80,Donnees!$D$4)</f>
        <v>0.18895034296044488</v>
      </c>
      <c r="H80" s="3">
        <f t="shared" si="6"/>
        <v>5.2923957921015328</v>
      </c>
      <c r="I80" s="8">
        <f>1/(1-POWER(1-$F80*$F$3*$F$8,Donnees!$D$4))</f>
        <v>11.235256894630343</v>
      </c>
      <c r="J80" s="8">
        <f>1/(1-POWER(1-$F80*$F$3*$F$9,Donnees!$D$4))</f>
        <v>97.248442313271994</v>
      </c>
      <c r="K80" s="10">
        <f>1/(1-POWER(1-$F80*$F$4*$F$8,Donnees!$D$4))</f>
        <v>18.144548696683167</v>
      </c>
      <c r="L80" s="10">
        <f>1/(1-POWER(1-$F80*$F$4*$F$9,Donnees!$D$4))</f>
        <v>159.45905234658639</v>
      </c>
      <c r="M80" s="12">
        <f>1/(1-POWER(1-$F80*$F$5*$F$8,Donnees!$D$4))</f>
        <v>35.807027675609113</v>
      </c>
      <c r="N80" s="12">
        <f>1/(1-POWER(1-$F80*$F$5*$F$9,Donnees!$D$4))</f>
        <v>318.4423202704682</v>
      </c>
      <c r="O80" s="6">
        <f>1/(1-POWER(1-$F80*$F$6*$F$8,Donnees!$D$4))</f>
        <v>106.46480407108302</v>
      </c>
      <c r="P80" s="6">
        <f>1/(1-POWER(1-$F80*$F$6*$F$9,Donnees!$D$4))</f>
        <v>954.37626361541584</v>
      </c>
      <c r="Q80" s="16">
        <f>1/(1-POWER(1-$F80*$F$7*$F$8,Donnees!$D$4))</f>
        <v>742.39824929896793</v>
      </c>
      <c r="R80" s="16">
        <f>1/(1-POWER(1-$F80*$F$7*$F$9,Donnees!$D$4))</f>
        <v>6677.7832477698757</v>
      </c>
    </row>
    <row r="81" spans="2:18" x14ac:dyDescent="0.35">
      <c r="B81" t="s">
        <v>973</v>
      </c>
      <c r="C81" t="s">
        <v>836</v>
      </c>
      <c r="D81" t="s">
        <v>52</v>
      </c>
      <c r="E81" s="3">
        <f>VLOOKUP(D81,$A$13:$F$16,5,FALSE)*_xlfn.XLOOKUP(Resultats!C81,Table1[name],Table1[cardRarityMultiplier])</f>
        <v>1.0416666666666666E-2</v>
      </c>
      <c r="F81" s="3">
        <f t="shared" si="4"/>
        <v>1.0483266240429404E-2</v>
      </c>
      <c r="G81" s="3">
        <f>1-POWER(1-E81,Donnees!$D$4)</f>
        <v>0.18895034296044488</v>
      </c>
      <c r="H81" s="3">
        <f t="shared" si="6"/>
        <v>5.2923957921015328</v>
      </c>
      <c r="I81" s="8">
        <f>1/(1-POWER(1-$F81*$F$3*$F$8,Donnees!$D$4))</f>
        <v>11.235256894630343</v>
      </c>
      <c r="J81" s="8">
        <f>1/(1-POWER(1-$F81*$F$3*$F$9,Donnees!$D$4))</f>
        <v>97.248442313271994</v>
      </c>
      <c r="K81" s="10">
        <f>1/(1-POWER(1-$F81*$F$4*$F$8,Donnees!$D$4))</f>
        <v>18.144548696683167</v>
      </c>
      <c r="L81" s="10">
        <f>1/(1-POWER(1-$F81*$F$4*$F$9,Donnees!$D$4))</f>
        <v>159.45905234658639</v>
      </c>
      <c r="M81" s="12">
        <f>1/(1-POWER(1-$F81*$F$5*$F$8,Donnees!$D$4))</f>
        <v>35.807027675609113</v>
      </c>
      <c r="N81" s="12">
        <f>1/(1-POWER(1-$F81*$F$5*$F$9,Donnees!$D$4))</f>
        <v>318.4423202704682</v>
      </c>
      <c r="O81" s="6">
        <f>1/(1-POWER(1-$F81*$F$6*$F$8,Donnees!$D$4))</f>
        <v>106.46480407108302</v>
      </c>
      <c r="P81" s="6">
        <f>1/(1-POWER(1-$F81*$F$6*$F$9,Donnees!$D$4))</f>
        <v>954.37626361541584</v>
      </c>
      <c r="Q81" s="16">
        <f>1/(1-POWER(1-$F81*$F$7*$F$8,Donnees!$D$4))</f>
        <v>742.39824929896793</v>
      </c>
      <c r="R81" s="16">
        <f>1/(1-POWER(1-$F81*$F$7*$F$9,Donnees!$D$4))</f>
        <v>6677.7832477698757</v>
      </c>
    </row>
    <row r="82" spans="2:18" x14ac:dyDescent="0.35">
      <c r="B82" t="s">
        <v>974</v>
      </c>
      <c r="C82" t="s">
        <v>838</v>
      </c>
      <c r="D82" t="s">
        <v>128</v>
      </c>
      <c r="E82" s="3">
        <f>VLOOKUP(D82,$A$13:$F$16,5,FALSE)*_xlfn.XLOOKUP(Resultats!C82,Table1[name],Table1[cardRarityMultiplier])</f>
        <v>6.2500000000000003E-3</v>
      </c>
      <c r="F82" s="3">
        <f t="shared" si="4"/>
        <v>6.2899597442576428E-3</v>
      </c>
      <c r="G82" s="3">
        <f>1-POWER(1-E82,Donnees!$D$4)</f>
        <v>0.11784919800517701</v>
      </c>
      <c r="H82" s="3">
        <f t="shared" si="6"/>
        <v>8.4854204943852984</v>
      </c>
      <c r="I82" s="8">
        <f>1/(1-POWER(1-$F82*$F$3*$F$8,Donnees!$D$4))</f>
        <v>18.400493418649408</v>
      </c>
      <c r="J82" s="8">
        <f>1/(1-POWER(1-$F82*$F$3*$F$9,Donnees!$D$4))</f>
        <v>161.76315399679564</v>
      </c>
      <c r="K82" s="10">
        <f>1/(1-POWER(1-$F82*$F$4*$F$8,Donnees!$D$4))</f>
        <v>29.919220086827341</v>
      </c>
      <c r="L82" s="10">
        <f>1/(1-POWER(1-$F82*$F$4*$F$9,Donnees!$D$4))</f>
        <v>265.44786276089866</v>
      </c>
      <c r="M82" s="12">
        <f>1/(1-POWER(1-$F82*$F$5*$F$8,Donnees!$D$4))</f>
        <v>59.359200966760184</v>
      </c>
      <c r="N82" s="12">
        <f>1/(1-POWER(1-$F82*$F$5*$F$9,Donnees!$D$4))</f>
        <v>530.42025490253059</v>
      </c>
      <c r="O82" s="6">
        <f>1/(1-POWER(1-$F82*$F$6*$F$8,Donnees!$D$4))</f>
        <v>177.12383664707096</v>
      </c>
      <c r="P82" s="6">
        <f>1/(1-POWER(1-$F82*$F$6*$F$9,Donnees!$D$4))</f>
        <v>1590.3103464032965</v>
      </c>
      <c r="Q82" s="16">
        <f>1/(1-POWER(1-$F82*$F$7*$F$8,Donnees!$D$4))</f>
        <v>1237.013629317039</v>
      </c>
      <c r="R82" s="16">
        <f>1/(1-POWER(1-$F82*$F$7*$F$9,Donnees!$D$4))</f>
        <v>11129.322066265169</v>
      </c>
    </row>
    <row r="83" spans="2:18" x14ac:dyDescent="0.35">
      <c r="B83" t="s">
        <v>975</v>
      </c>
      <c r="C83" t="s">
        <v>843</v>
      </c>
      <c r="D83" t="s">
        <v>305</v>
      </c>
      <c r="E83" s="3">
        <f>VLOOKUP(D83,$A$13:$F$16,5,FALSE)*_xlfn.XLOOKUP(Resultats!C83,Table1[name],Table1[cardRarityMultiplier])</f>
        <v>8.8235294117647058E-3</v>
      </c>
      <c r="F83" s="3">
        <f t="shared" si="4"/>
        <v>8.8799431683637305E-3</v>
      </c>
      <c r="G83" s="3">
        <f>1-POWER(1-E83,Donnees!$D$4)</f>
        <v>0.16243277107126597</v>
      </c>
      <c r="H83" s="3">
        <f t="shared" si="6"/>
        <v>6.1563931551796198</v>
      </c>
      <c r="I83" s="8">
        <f>1/(1-POWER(1-$F83*$F$3*$F$8,Donnees!$D$4))</f>
        <v>13.175495165058894</v>
      </c>
      <c r="J83" s="8">
        <f>1/(1-POWER(1-$F83*$F$3*$F$9,Donnees!$D$4))</f>
        <v>114.72113838668551</v>
      </c>
      <c r="K83" s="10">
        <f>1/(1-POWER(1-$F83*$F$4*$F$8,Donnees!$D$4))</f>
        <v>21.333311604482738</v>
      </c>
      <c r="L83" s="10">
        <f>1/(1-POWER(1-$F83*$F$4*$F$9,Donnees!$D$4))</f>
        <v>188.16433183484756</v>
      </c>
      <c r="M83" s="12">
        <f>1/(1-POWER(1-$F83*$F$5*$F$8,Donnees!$D$4))</f>
        <v>42.185636143924029</v>
      </c>
      <c r="N83" s="12">
        <f>1/(1-POWER(1-$F83*$F$5*$F$9,Donnees!$D$4))</f>
        <v>375.85299923613218</v>
      </c>
      <c r="O83" s="6">
        <f>1/(1-POWER(1-$F83*$F$6*$F$8,Donnees!$D$4))</f>
        <v>125.60159038873364</v>
      </c>
      <c r="P83" s="6">
        <f>1/(1-POWER(1-$F83*$F$6*$F$9,Donnees!$D$4))</f>
        <v>1126.6084071499856</v>
      </c>
      <c r="Q83" s="16">
        <f>1/(1-POWER(1-$F83*$F$7*$F$8,Donnees!$D$4))</f>
        <v>876.35657638905536</v>
      </c>
      <c r="R83" s="16">
        <f>1/(1-POWER(1-$F83*$F$7*$F$9,Donnees!$D$4))</f>
        <v>7883.4083438508196</v>
      </c>
    </row>
    <row r="84" spans="2:18" x14ac:dyDescent="0.35">
      <c r="B84" t="s">
        <v>976</v>
      </c>
      <c r="C84" t="s">
        <v>847</v>
      </c>
      <c r="D84" t="s">
        <v>70</v>
      </c>
      <c r="E84" s="3">
        <f>VLOOKUP(D84,$A$13:$F$16,5,FALSE)*_xlfn.XLOOKUP(Resultats!C84,Table1[name],Table1[cardRarityMultiplier])</f>
        <v>1.2E-2</v>
      </c>
      <c r="F84" s="3">
        <f t="shared" ref="F84:F115" si="7">E84/$E$118</f>
        <v>1.2076722708974674E-2</v>
      </c>
      <c r="G84" s="3">
        <f>1-POWER(1-E84,Donnees!$D$4)</f>
        <v>0.21451319895896026</v>
      </c>
      <c r="H84" s="3">
        <f t="shared" si="6"/>
        <v>4.6617178096873921</v>
      </c>
      <c r="I84" s="8">
        <f>1/(1-POWER(1-$F84*$F$3*$F$8,Donnees!$D$4))</f>
        <v>9.8177034242507268</v>
      </c>
      <c r="J84" s="8">
        <f>1/(1-POWER(1-$F84*$F$3*$F$9,Donnees!$D$4))</f>
        <v>84.479968231682932</v>
      </c>
      <c r="K84" s="10">
        <f>1/(1-POWER(1-$F84*$F$4*$F$8,Donnees!$D$4))</f>
        <v>15.814488958922057</v>
      </c>
      <c r="L84" s="10">
        <f>1/(1-POWER(1-$F84*$F$4*$F$9,Donnees!$D$4))</f>
        <v>138.48213838284252</v>
      </c>
      <c r="M84" s="12">
        <f>1/(1-POWER(1-$F84*$F$5*$F$8,Donnees!$D$4))</f>
        <v>31.145831732597358</v>
      </c>
      <c r="N84" s="12">
        <f>1/(1-POWER(1-$F84*$F$5*$F$9,Donnees!$D$4))</f>
        <v>276.48837308590822</v>
      </c>
      <c r="O84" s="6">
        <f>1/(1-POWER(1-$F84*$F$6*$F$8,Donnees!$D$4))</f>
        <v>92.480261032095697</v>
      </c>
      <c r="P84" s="6">
        <f>1/(1-POWER(1-$F84*$F$6*$F$9,Donnees!$D$4))</f>
        <v>828.51431607704581</v>
      </c>
      <c r="Q84" s="16">
        <f>1/(1-POWER(1-$F84*$F$7*$F$8,Donnees!$D$4))</f>
        <v>644.50563016443709</v>
      </c>
      <c r="R84" s="16">
        <f>1/(1-POWER(1-$F84*$F$7*$F$9,Donnees!$D$4))</f>
        <v>5796.7495240968374</v>
      </c>
    </row>
    <row r="85" spans="2:18" x14ac:dyDescent="0.35">
      <c r="B85" t="s">
        <v>977</v>
      </c>
      <c r="C85" t="s">
        <v>850</v>
      </c>
      <c r="D85" t="s">
        <v>305</v>
      </c>
      <c r="E85" s="3">
        <f>VLOOKUP(D85,$A$13:$F$16,5,FALSE)*_xlfn.XLOOKUP(Resultats!C85,Table1[name],Table1[cardRarityMultiplier])</f>
        <v>8.8235294117647058E-3</v>
      </c>
      <c r="F85" s="3">
        <f t="shared" si="7"/>
        <v>8.8799431683637305E-3</v>
      </c>
      <c r="G85" s="3">
        <f>1-POWER(1-E85,Donnees!$D$4)</f>
        <v>0.16243277107126597</v>
      </c>
      <c r="H85" s="3">
        <f t="shared" si="6"/>
        <v>6.1563931551796198</v>
      </c>
      <c r="I85" s="8">
        <f>1/(1-POWER(1-$F85*$F$3*$F$8,Donnees!$D$4))</f>
        <v>13.175495165058894</v>
      </c>
      <c r="J85" s="8">
        <f>1/(1-POWER(1-$F85*$F$3*$F$9,Donnees!$D$4))</f>
        <v>114.72113838668551</v>
      </c>
      <c r="K85" s="10">
        <f>1/(1-POWER(1-$F85*$F$4*$F$8,Donnees!$D$4))</f>
        <v>21.333311604482738</v>
      </c>
      <c r="L85" s="10">
        <f>1/(1-POWER(1-$F85*$F$4*$F$9,Donnees!$D$4))</f>
        <v>188.16433183484756</v>
      </c>
      <c r="M85" s="12">
        <f>1/(1-POWER(1-$F85*$F$5*$F$8,Donnees!$D$4))</f>
        <v>42.185636143924029</v>
      </c>
      <c r="N85" s="12">
        <f>1/(1-POWER(1-$F85*$F$5*$F$9,Donnees!$D$4))</f>
        <v>375.85299923613218</v>
      </c>
      <c r="O85" s="6">
        <f>1/(1-POWER(1-$F85*$F$6*$F$8,Donnees!$D$4))</f>
        <v>125.60159038873364</v>
      </c>
      <c r="P85" s="6">
        <f>1/(1-POWER(1-$F85*$F$6*$F$9,Donnees!$D$4))</f>
        <v>1126.6084071499856</v>
      </c>
      <c r="Q85" s="16">
        <f>1/(1-POWER(1-$F85*$F$7*$F$8,Donnees!$D$4))</f>
        <v>876.35657638905536</v>
      </c>
      <c r="R85" s="16">
        <f>1/(1-POWER(1-$F85*$F$7*$F$9,Donnees!$D$4))</f>
        <v>7883.4083438508196</v>
      </c>
    </row>
    <row r="86" spans="2:18" x14ac:dyDescent="0.35">
      <c r="B86" t="s">
        <v>978</v>
      </c>
      <c r="C86" t="s">
        <v>854</v>
      </c>
      <c r="D86" t="s">
        <v>305</v>
      </c>
      <c r="E86" s="3">
        <f>VLOOKUP(D86,$A$13:$F$16,5,FALSE)*_xlfn.XLOOKUP(Resultats!C86,Table1[name],Table1[cardRarityMultiplier])</f>
        <v>8.8235294117647058E-3</v>
      </c>
      <c r="F86" s="3">
        <f t="shared" si="7"/>
        <v>8.8799431683637305E-3</v>
      </c>
      <c r="G86" s="3">
        <f>1-POWER(1-E86,Donnees!$D$4)</f>
        <v>0.16243277107126597</v>
      </c>
      <c r="H86" s="3">
        <f t="shared" si="6"/>
        <v>6.1563931551796198</v>
      </c>
      <c r="I86" s="8">
        <f>1/(1-POWER(1-$F86*$F$3*$F$8,Donnees!$D$4))</f>
        <v>13.175495165058894</v>
      </c>
      <c r="J86" s="8">
        <f>1/(1-POWER(1-$F86*$F$3*$F$9,Donnees!$D$4))</f>
        <v>114.72113838668551</v>
      </c>
      <c r="K86" s="10">
        <f>1/(1-POWER(1-$F86*$F$4*$F$8,Donnees!$D$4))</f>
        <v>21.333311604482738</v>
      </c>
      <c r="L86" s="10">
        <f>1/(1-POWER(1-$F86*$F$4*$F$9,Donnees!$D$4))</f>
        <v>188.16433183484756</v>
      </c>
      <c r="M86" s="12">
        <f>1/(1-POWER(1-$F86*$F$5*$F$8,Donnees!$D$4))</f>
        <v>42.185636143924029</v>
      </c>
      <c r="N86" s="12">
        <f>1/(1-POWER(1-$F86*$F$5*$F$9,Donnees!$D$4))</f>
        <v>375.85299923613218</v>
      </c>
      <c r="O86" s="6">
        <f>1/(1-POWER(1-$F86*$F$6*$F$8,Donnees!$D$4))</f>
        <v>125.60159038873364</v>
      </c>
      <c r="P86" s="6">
        <f>1/(1-POWER(1-$F86*$F$6*$F$9,Donnees!$D$4))</f>
        <v>1126.6084071499856</v>
      </c>
      <c r="Q86" s="16">
        <f>1/(1-POWER(1-$F86*$F$7*$F$8,Donnees!$D$4))</f>
        <v>876.35657638905536</v>
      </c>
      <c r="R86" s="16">
        <f>1/(1-POWER(1-$F86*$F$7*$F$9,Donnees!$D$4))</f>
        <v>7883.4083438508196</v>
      </c>
    </row>
    <row r="87" spans="2:18" x14ac:dyDescent="0.35">
      <c r="B87" t="s">
        <v>979</v>
      </c>
      <c r="C87" t="s">
        <v>857</v>
      </c>
      <c r="D87" t="s">
        <v>70</v>
      </c>
      <c r="E87" s="3">
        <f>VLOOKUP(D87,$A$13:$F$16,5,FALSE)*_xlfn.XLOOKUP(Resultats!C87,Table1[name],Table1[cardRarityMultiplier])</f>
        <v>1.2E-2</v>
      </c>
      <c r="F87" s="3">
        <f t="shared" si="7"/>
        <v>1.2076722708974674E-2</v>
      </c>
      <c r="G87" s="3">
        <f>1-POWER(1-E87,Donnees!$D$4)</f>
        <v>0.21451319895896026</v>
      </c>
      <c r="H87" s="3">
        <f t="shared" si="6"/>
        <v>4.6617178096873921</v>
      </c>
      <c r="I87" s="8">
        <f>1/(1-POWER(1-$F87*$F$3*$F$8,Donnees!$D$4))</f>
        <v>9.8177034242507268</v>
      </c>
      <c r="J87" s="8">
        <f>1/(1-POWER(1-$F87*$F$3*$F$9,Donnees!$D$4))</f>
        <v>84.479968231682932</v>
      </c>
      <c r="K87" s="10">
        <f>1/(1-POWER(1-$F87*$F$4*$F$8,Donnees!$D$4))</f>
        <v>15.814488958922057</v>
      </c>
      <c r="L87" s="10">
        <f>1/(1-POWER(1-$F87*$F$4*$F$9,Donnees!$D$4))</f>
        <v>138.48213838284252</v>
      </c>
      <c r="M87" s="12">
        <f>1/(1-POWER(1-$F87*$F$5*$F$8,Donnees!$D$4))</f>
        <v>31.145831732597358</v>
      </c>
      <c r="N87" s="12">
        <f>1/(1-POWER(1-$F87*$F$5*$F$9,Donnees!$D$4))</f>
        <v>276.48837308590822</v>
      </c>
      <c r="O87" s="6">
        <f>1/(1-POWER(1-$F87*$F$6*$F$8,Donnees!$D$4))</f>
        <v>92.480261032095697</v>
      </c>
      <c r="P87" s="6">
        <f>1/(1-POWER(1-$F87*$F$6*$F$9,Donnees!$D$4))</f>
        <v>828.51431607704581</v>
      </c>
      <c r="Q87" s="16">
        <f>1/(1-POWER(1-$F87*$F$7*$F$8,Donnees!$D$4))</f>
        <v>644.50563016443709</v>
      </c>
      <c r="R87" s="16">
        <f>1/(1-POWER(1-$F87*$F$7*$F$9,Donnees!$D$4))</f>
        <v>5796.7495240968374</v>
      </c>
    </row>
    <row r="88" spans="2:18" x14ac:dyDescent="0.35">
      <c r="B88" t="s">
        <v>980</v>
      </c>
      <c r="C88" t="s">
        <v>860</v>
      </c>
      <c r="D88" t="s">
        <v>70</v>
      </c>
      <c r="E88" s="3">
        <f>VLOOKUP(D88,$A$13:$F$16,5,FALSE)*_xlfn.XLOOKUP(Resultats!C88,Table1[name],Table1[cardRarityMultiplier])</f>
        <v>1.2E-2</v>
      </c>
      <c r="F88" s="3">
        <f t="shared" si="7"/>
        <v>1.2076722708974674E-2</v>
      </c>
      <c r="G88" s="3">
        <f>1-POWER(1-E88,Donnees!$D$4)</f>
        <v>0.21451319895896026</v>
      </c>
      <c r="H88" s="3">
        <f t="shared" si="6"/>
        <v>4.6617178096873921</v>
      </c>
      <c r="I88" s="8">
        <f>1/(1-POWER(1-$F88*$F$3*$F$8,Donnees!$D$4))</f>
        <v>9.8177034242507268</v>
      </c>
      <c r="J88" s="8">
        <f>1/(1-POWER(1-$F88*$F$3*$F$9,Donnees!$D$4))</f>
        <v>84.479968231682932</v>
      </c>
      <c r="K88" s="10">
        <f>1/(1-POWER(1-$F88*$F$4*$F$8,Donnees!$D$4))</f>
        <v>15.814488958922057</v>
      </c>
      <c r="L88" s="10">
        <f>1/(1-POWER(1-$F88*$F$4*$F$9,Donnees!$D$4))</f>
        <v>138.48213838284252</v>
      </c>
      <c r="M88" s="12">
        <f>1/(1-POWER(1-$F88*$F$5*$F$8,Donnees!$D$4))</f>
        <v>31.145831732597358</v>
      </c>
      <c r="N88" s="12">
        <f>1/(1-POWER(1-$F88*$F$5*$F$9,Donnees!$D$4))</f>
        <v>276.48837308590822</v>
      </c>
      <c r="O88" s="6">
        <f>1/(1-POWER(1-$F88*$F$6*$F$8,Donnees!$D$4))</f>
        <v>92.480261032095697</v>
      </c>
      <c r="P88" s="6">
        <f>1/(1-POWER(1-$F88*$F$6*$F$9,Donnees!$D$4))</f>
        <v>828.51431607704581</v>
      </c>
      <c r="Q88" s="16">
        <f>1/(1-POWER(1-$F88*$F$7*$F$8,Donnees!$D$4))</f>
        <v>644.50563016443709</v>
      </c>
      <c r="R88" s="16">
        <f>1/(1-POWER(1-$F88*$F$7*$F$9,Donnees!$D$4))</f>
        <v>5796.7495240968374</v>
      </c>
    </row>
    <row r="89" spans="2:18" x14ac:dyDescent="0.35">
      <c r="B89" t="s">
        <v>981</v>
      </c>
      <c r="C89" t="s">
        <v>863</v>
      </c>
      <c r="D89" t="s">
        <v>305</v>
      </c>
      <c r="E89" s="3">
        <f>VLOOKUP(D89,$A$13:$F$16,5,FALSE)*_xlfn.XLOOKUP(Resultats!C89,Table1[name],Table1[cardRarityMultiplier])</f>
        <v>8.8235294117647058E-3</v>
      </c>
      <c r="F89" s="3">
        <f t="shared" si="7"/>
        <v>8.8799431683637305E-3</v>
      </c>
      <c r="G89" s="3">
        <f>1-POWER(1-E89,Donnees!$D$4)</f>
        <v>0.16243277107126597</v>
      </c>
      <c r="H89" s="3">
        <f t="shared" si="6"/>
        <v>6.1563931551796198</v>
      </c>
      <c r="I89" s="8">
        <f>1/(1-POWER(1-$F89*$F$3*$F$8,Donnees!$D$4))</f>
        <v>13.175495165058894</v>
      </c>
      <c r="J89" s="8">
        <f>1/(1-POWER(1-$F89*$F$3*$F$9,Donnees!$D$4))</f>
        <v>114.72113838668551</v>
      </c>
      <c r="K89" s="10">
        <f>1/(1-POWER(1-$F89*$F$4*$F$8,Donnees!$D$4))</f>
        <v>21.333311604482738</v>
      </c>
      <c r="L89" s="10">
        <f>1/(1-POWER(1-$F89*$F$4*$F$9,Donnees!$D$4))</f>
        <v>188.16433183484756</v>
      </c>
      <c r="M89" s="12">
        <f>1/(1-POWER(1-$F89*$F$5*$F$8,Donnees!$D$4))</f>
        <v>42.185636143924029</v>
      </c>
      <c r="N89" s="12">
        <f>1/(1-POWER(1-$F89*$F$5*$F$9,Donnees!$D$4))</f>
        <v>375.85299923613218</v>
      </c>
      <c r="O89" s="6">
        <f>1/(1-POWER(1-$F89*$F$6*$F$8,Donnees!$D$4))</f>
        <v>125.60159038873364</v>
      </c>
      <c r="P89" s="6">
        <f>1/(1-POWER(1-$F89*$F$6*$F$9,Donnees!$D$4))</f>
        <v>1126.6084071499856</v>
      </c>
      <c r="Q89" s="16">
        <f>1/(1-POWER(1-$F89*$F$7*$F$8,Donnees!$D$4))</f>
        <v>876.35657638905536</v>
      </c>
      <c r="R89" s="16">
        <f>1/(1-POWER(1-$F89*$F$7*$F$9,Donnees!$D$4))</f>
        <v>7883.4083438508196</v>
      </c>
    </row>
    <row r="90" spans="2:18" x14ac:dyDescent="0.35">
      <c r="B90" t="s">
        <v>982</v>
      </c>
      <c r="C90" t="s">
        <v>866</v>
      </c>
      <c r="D90" t="s">
        <v>70</v>
      </c>
      <c r="E90" s="3">
        <f>VLOOKUP(D90,$A$13:$F$16,5,FALSE)*_xlfn.XLOOKUP(Resultats!C90,Table1[name],Table1[cardRarityMultiplier])</f>
        <v>1.2E-2</v>
      </c>
      <c r="F90" s="3">
        <f t="shared" si="7"/>
        <v>1.2076722708974674E-2</v>
      </c>
      <c r="G90" s="3">
        <f>1-POWER(1-E90,Donnees!$D$4)</f>
        <v>0.21451319895896026</v>
      </c>
      <c r="H90" s="3">
        <f t="shared" si="6"/>
        <v>4.6617178096873921</v>
      </c>
      <c r="I90" s="8">
        <f>1/(1-POWER(1-$F90*$F$3*$F$8,Donnees!$D$4))</f>
        <v>9.8177034242507268</v>
      </c>
      <c r="J90" s="8">
        <f>1/(1-POWER(1-$F90*$F$3*$F$9,Donnees!$D$4))</f>
        <v>84.479968231682932</v>
      </c>
      <c r="K90" s="10">
        <f>1/(1-POWER(1-$F90*$F$4*$F$8,Donnees!$D$4))</f>
        <v>15.814488958922057</v>
      </c>
      <c r="L90" s="10">
        <f>1/(1-POWER(1-$F90*$F$4*$F$9,Donnees!$D$4))</f>
        <v>138.48213838284252</v>
      </c>
      <c r="M90" s="12">
        <f>1/(1-POWER(1-$F90*$F$5*$F$8,Donnees!$D$4))</f>
        <v>31.145831732597358</v>
      </c>
      <c r="N90" s="12">
        <f>1/(1-POWER(1-$F90*$F$5*$F$9,Donnees!$D$4))</f>
        <v>276.48837308590822</v>
      </c>
      <c r="O90" s="6">
        <f>1/(1-POWER(1-$F90*$F$6*$F$8,Donnees!$D$4))</f>
        <v>92.480261032095697</v>
      </c>
      <c r="P90" s="6">
        <f>1/(1-POWER(1-$F90*$F$6*$F$9,Donnees!$D$4))</f>
        <v>828.51431607704581</v>
      </c>
      <c r="Q90" s="16">
        <f>1/(1-POWER(1-$F90*$F$7*$F$8,Donnees!$D$4))</f>
        <v>644.50563016443709</v>
      </c>
      <c r="R90" s="16">
        <f>1/(1-POWER(1-$F90*$F$7*$F$9,Donnees!$D$4))</f>
        <v>5796.7495240968374</v>
      </c>
    </row>
    <row r="91" spans="2:18" x14ac:dyDescent="0.35">
      <c r="B91" t="s">
        <v>983</v>
      </c>
      <c r="C91" t="s">
        <v>869</v>
      </c>
      <c r="D91" t="s">
        <v>52</v>
      </c>
      <c r="E91" s="3">
        <f>VLOOKUP(D91,$A$13:$F$16,5,FALSE)*_xlfn.XLOOKUP(Resultats!C91,Table1[name],Table1[cardRarityMultiplier])</f>
        <v>1.0416666666666666E-2</v>
      </c>
      <c r="F91" s="3">
        <f t="shared" si="7"/>
        <v>1.0483266240429404E-2</v>
      </c>
      <c r="G91" s="3">
        <f>1-POWER(1-E91,Donnees!$D$4)</f>
        <v>0.18895034296044488</v>
      </c>
      <c r="H91" s="3">
        <f t="shared" si="6"/>
        <v>5.2923957921015328</v>
      </c>
      <c r="I91" s="8">
        <f>1/(1-POWER(1-$F91*$F$3*$F$8,Donnees!$D$4))</f>
        <v>11.235256894630343</v>
      </c>
      <c r="J91" s="8">
        <f>1/(1-POWER(1-$F91*$F$3*$F$9,Donnees!$D$4))</f>
        <v>97.248442313271994</v>
      </c>
      <c r="K91" s="10">
        <f>1/(1-POWER(1-$F91*$F$4*$F$8,Donnees!$D$4))</f>
        <v>18.144548696683167</v>
      </c>
      <c r="L91" s="10">
        <f>1/(1-POWER(1-$F91*$F$4*$F$9,Donnees!$D$4))</f>
        <v>159.45905234658639</v>
      </c>
      <c r="M91" s="12">
        <f>1/(1-POWER(1-$F91*$F$5*$F$8,Donnees!$D$4))</f>
        <v>35.807027675609113</v>
      </c>
      <c r="N91" s="12">
        <f>1/(1-POWER(1-$F91*$F$5*$F$9,Donnees!$D$4))</f>
        <v>318.4423202704682</v>
      </c>
      <c r="O91" s="6">
        <f>1/(1-POWER(1-$F91*$F$6*$F$8,Donnees!$D$4))</f>
        <v>106.46480407108302</v>
      </c>
      <c r="P91" s="6">
        <f>1/(1-POWER(1-$F91*$F$6*$F$9,Donnees!$D$4))</f>
        <v>954.37626361541584</v>
      </c>
      <c r="Q91" s="16">
        <f>1/(1-POWER(1-$F91*$F$7*$F$8,Donnees!$D$4))</f>
        <v>742.39824929896793</v>
      </c>
      <c r="R91" s="16">
        <f>1/(1-POWER(1-$F91*$F$7*$F$9,Donnees!$D$4))</f>
        <v>6677.7832477698757</v>
      </c>
    </row>
    <row r="92" spans="2:18" x14ac:dyDescent="0.35">
      <c r="B92" t="s">
        <v>984</v>
      </c>
      <c r="C92" t="s">
        <v>872</v>
      </c>
      <c r="D92" t="s">
        <v>52</v>
      </c>
      <c r="E92" s="3">
        <f>VLOOKUP(D92,$A$13:$F$16,5,FALSE)*_xlfn.XLOOKUP(Resultats!C92,Table1[name],Table1[cardRarityMultiplier])</f>
        <v>1.0416666666666666E-2</v>
      </c>
      <c r="F92" s="3">
        <f t="shared" si="7"/>
        <v>1.0483266240429404E-2</v>
      </c>
      <c r="G92" s="3">
        <f>1-POWER(1-E92,Donnees!$D$4)</f>
        <v>0.18895034296044488</v>
      </c>
      <c r="H92" s="3">
        <f t="shared" si="6"/>
        <v>5.2923957921015328</v>
      </c>
      <c r="I92" s="8">
        <f>1/(1-POWER(1-$F92*$F$3*$F$8,Donnees!$D$4))</f>
        <v>11.235256894630343</v>
      </c>
      <c r="J92" s="8">
        <f>1/(1-POWER(1-$F92*$F$3*$F$9,Donnees!$D$4))</f>
        <v>97.248442313271994</v>
      </c>
      <c r="K92" s="10">
        <f>1/(1-POWER(1-$F92*$F$4*$F$8,Donnees!$D$4))</f>
        <v>18.144548696683167</v>
      </c>
      <c r="L92" s="10">
        <f>1/(1-POWER(1-$F92*$F$4*$F$9,Donnees!$D$4))</f>
        <v>159.45905234658639</v>
      </c>
      <c r="M92" s="12">
        <f>1/(1-POWER(1-$F92*$F$5*$F$8,Donnees!$D$4))</f>
        <v>35.807027675609113</v>
      </c>
      <c r="N92" s="12">
        <f>1/(1-POWER(1-$F92*$F$5*$F$9,Donnees!$D$4))</f>
        <v>318.4423202704682</v>
      </c>
      <c r="O92" s="6">
        <f>1/(1-POWER(1-$F92*$F$6*$F$8,Donnees!$D$4))</f>
        <v>106.46480407108302</v>
      </c>
      <c r="P92" s="6">
        <f>1/(1-POWER(1-$F92*$F$6*$F$9,Donnees!$D$4))</f>
        <v>954.37626361541584</v>
      </c>
      <c r="Q92" s="16">
        <f>1/(1-POWER(1-$F92*$F$7*$F$8,Donnees!$D$4))</f>
        <v>742.39824929896793</v>
      </c>
      <c r="R92" s="16">
        <f>1/(1-POWER(1-$F92*$F$7*$F$9,Donnees!$D$4))</f>
        <v>6677.7832477698757</v>
      </c>
    </row>
    <row r="93" spans="2:18" x14ac:dyDescent="0.35">
      <c r="B93" t="s">
        <v>985</v>
      </c>
      <c r="C93" t="s">
        <v>875</v>
      </c>
      <c r="D93" t="s">
        <v>52</v>
      </c>
      <c r="E93" s="3">
        <f>VLOOKUP(D93,$A$13:$F$16,5,FALSE)*_xlfn.XLOOKUP(Resultats!C93,Table1[name],Table1[cardRarityMultiplier])</f>
        <v>1.0416666666666666E-2</v>
      </c>
      <c r="F93" s="3">
        <f t="shared" si="7"/>
        <v>1.0483266240429404E-2</v>
      </c>
      <c r="G93" s="3">
        <f>1-POWER(1-E93,Donnees!$D$4)</f>
        <v>0.18895034296044488</v>
      </c>
      <c r="H93" s="3">
        <f t="shared" si="6"/>
        <v>5.2923957921015328</v>
      </c>
      <c r="I93" s="8">
        <f>1/(1-POWER(1-$F93*$F$3*$F$8,Donnees!$D$4))</f>
        <v>11.235256894630343</v>
      </c>
      <c r="J93" s="8">
        <f>1/(1-POWER(1-$F93*$F$3*$F$9,Donnees!$D$4))</f>
        <v>97.248442313271994</v>
      </c>
      <c r="K93" s="10">
        <f>1/(1-POWER(1-$F93*$F$4*$F$8,Donnees!$D$4))</f>
        <v>18.144548696683167</v>
      </c>
      <c r="L93" s="10">
        <f>1/(1-POWER(1-$F93*$F$4*$F$9,Donnees!$D$4))</f>
        <v>159.45905234658639</v>
      </c>
      <c r="M93" s="12">
        <f>1/(1-POWER(1-$F93*$F$5*$F$8,Donnees!$D$4))</f>
        <v>35.807027675609113</v>
      </c>
      <c r="N93" s="12">
        <f>1/(1-POWER(1-$F93*$F$5*$F$9,Donnees!$D$4))</f>
        <v>318.4423202704682</v>
      </c>
      <c r="O93" s="6">
        <f>1/(1-POWER(1-$F93*$F$6*$F$8,Donnees!$D$4))</f>
        <v>106.46480407108302</v>
      </c>
      <c r="P93" s="6">
        <f>1/(1-POWER(1-$F93*$F$6*$F$9,Donnees!$D$4))</f>
        <v>954.37626361541584</v>
      </c>
      <c r="Q93" s="16">
        <f>1/(1-POWER(1-$F93*$F$7*$F$8,Donnees!$D$4))</f>
        <v>742.39824929896793</v>
      </c>
      <c r="R93" s="16">
        <f>1/(1-POWER(1-$F93*$F$7*$F$9,Donnees!$D$4))</f>
        <v>6677.7832477698757</v>
      </c>
    </row>
    <row r="94" spans="2:18" x14ac:dyDescent="0.35">
      <c r="B94" t="s">
        <v>986</v>
      </c>
      <c r="C94" t="s">
        <v>878</v>
      </c>
      <c r="D94" t="s">
        <v>52</v>
      </c>
      <c r="E94" s="3">
        <f>VLOOKUP(D94,$A$13:$F$16,5,FALSE)*_xlfn.XLOOKUP(Resultats!C94,Table1[name],Table1[cardRarityMultiplier])</f>
        <v>1.0416666666666666E-2</v>
      </c>
      <c r="F94" s="3">
        <f t="shared" si="7"/>
        <v>1.0483266240429404E-2</v>
      </c>
      <c r="G94" s="3">
        <f>1-POWER(1-E94,Donnees!$D$4)</f>
        <v>0.18895034296044488</v>
      </c>
      <c r="H94" s="3">
        <f t="shared" si="6"/>
        <v>5.2923957921015328</v>
      </c>
      <c r="I94" s="8">
        <f>1/(1-POWER(1-$F94*$F$3*$F$8,Donnees!$D$4))</f>
        <v>11.235256894630343</v>
      </c>
      <c r="J94" s="8">
        <f>1/(1-POWER(1-$F94*$F$3*$F$9,Donnees!$D$4))</f>
        <v>97.248442313271994</v>
      </c>
      <c r="K94" s="10">
        <f>1/(1-POWER(1-$F94*$F$4*$F$8,Donnees!$D$4))</f>
        <v>18.144548696683167</v>
      </c>
      <c r="L94" s="10">
        <f>1/(1-POWER(1-$F94*$F$4*$F$9,Donnees!$D$4))</f>
        <v>159.45905234658639</v>
      </c>
      <c r="M94" s="12">
        <f>1/(1-POWER(1-$F94*$F$5*$F$8,Donnees!$D$4))</f>
        <v>35.807027675609113</v>
      </c>
      <c r="N94" s="12">
        <f>1/(1-POWER(1-$F94*$F$5*$F$9,Donnees!$D$4))</f>
        <v>318.4423202704682</v>
      </c>
      <c r="O94" s="6">
        <f>1/(1-POWER(1-$F94*$F$6*$F$8,Donnees!$D$4))</f>
        <v>106.46480407108302</v>
      </c>
      <c r="P94" s="6">
        <f>1/(1-POWER(1-$F94*$F$6*$F$9,Donnees!$D$4))</f>
        <v>954.37626361541584</v>
      </c>
      <c r="Q94" s="16">
        <f>1/(1-POWER(1-$F94*$F$7*$F$8,Donnees!$D$4))</f>
        <v>742.39824929896793</v>
      </c>
      <c r="R94" s="16">
        <f>1/(1-POWER(1-$F94*$F$7*$F$9,Donnees!$D$4))</f>
        <v>6677.7832477698757</v>
      </c>
    </row>
    <row r="95" spans="2:18" x14ac:dyDescent="0.35">
      <c r="B95" t="s">
        <v>987</v>
      </c>
      <c r="C95" t="s">
        <v>881</v>
      </c>
      <c r="D95" t="s">
        <v>52</v>
      </c>
      <c r="E95" s="3">
        <f>VLOOKUP(D95,$A$13:$F$16,5,FALSE)*_xlfn.XLOOKUP(Resultats!C95,Table1[name],Table1[cardRarityMultiplier])</f>
        <v>1.0416666666666666E-2</v>
      </c>
      <c r="F95" s="3">
        <f t="shared" si="7"/>
        <v>1.0483266240429404E-2</v>
      </c>
      <c r="G95" s="3">
        <f>1-POWER(1-E95,Donnees!$D$4)</f>
        <v>0.18895034296044488</v>
      </c>
      <c r="H95" s="3">
        <f t="shared" si="6"/>
        <v>5.2923957921015328</v>
      </c>
      <c r="I95" s="8">
        <f>1/(1-POWER(1-$F95*$F$3*$F$8,Donnees!$D$4))</f>
        <v>11.235256894630343</v>
      </c>
      <c r="J95" s="8">
        <f>1/(1-POWER(1-$F95*$F$3*$F$9,Donnees!$D$4))</f>
        <v>97.248442313271994</v>
      </c>
      <c r="K95" s="10">
        <f>1/(1-POWER(1-$F95*$F$4*$F$8,Donnees!$D$4))</f>
        <v>18.144548696683167</v>
      </c>
      <c r="L95" s="10">
        <f>1/(1-POWER(1-$F95*$F$4*$F$9,Donnees!$D$4))</f>
        <v>159.45905234658639</v>
      </c>
      <c r="M95" s="12">
        <f>1/(1-POWER(1-$F95*$F$5*$F$8,Donnees!$D$4))</f>
        <v>35.807027675609113</v>
      </c>
      <c r="N95" s="12">
        <f>1/(1-POWER(1-$F95*$F$5*$F$9,Donnees!$D$4))</f>
        <v>318.4423202704682</v>
      </c>
      <c r="O95" s="6">
        <f>1/(1-POWER(1-$F95*$F$6*$F$8,Donnees!$D$4))</f>
        <v>106.46480407108302</v>
      </c>
      <c r="P95" s="6">
        <f>1/(1-POWER(1-$F95*$F$6*$F$9,Donnees!$D$4))</f>
        <v>954.37626361541584</v>
      </c>
      <c r="Q95" s="16">
        <f>1/(1-POWER(1-$F95*$F$7*$F$8,Donnees!$D$4))</f>
        <v>742.39824929896793</v>
      </c>
      <c r="R95" s="16">
        <f>1/(1-POWER(1-$F95*$F$7*$F$9,Donnees!$D$4))</f>
        <v>6677.7832477698757</v>
      </c>
    </row>
    <row r="96" spans="2:18" x14ac:dyDescent="0.35">
      <c r="B96" t="s">
        <v>988</v>
      </c>
      <c r="C96" t="s">
        <v>884</v>
      </c>
      <c r="D96" t="s">
        <v>52</v>
      </c>
      <c r="E96" s="3">
        <f>VLOOKUP(D96,$A$13:$F$16,5,FALSE)*_xlfn.XLOOKUP(Resultats!C96,Table1[name],Table1[cardRarityMultiplier])</f>
        <v>1.0416666666666666E-2</v>
      </c>
      <c r="F96" s="3">
        <f t="shared" si="7"/>
        <v>1.0483266240429404E-2</v>
      </c>
      <c r="G96" s="3">
        <f>1-POWER(1-E96,Donnees!$D$4)</f>
        <v>0.18895034296044488</v>
      </c>
      <c r="H96" s="3">
        <f t="shared" si="6"/>
        <v>5.2923957921015328</v>
      </c>
      <c r="I96" s="8">
        <f>1/(1-POWER(1-$F96*$F$3*$F$8,Donnees!$D$4))</f>
        <v>11.235256894630343</v>
      </c>
      <c r="J96" s="8">
        <f>1/(1-POWER(1-$F96*$F$3*$F$9,Donnees!$D$4))</f>
        <v>97.248442313271994</v>
      </c>
      <c r="K96" s="10">
        <f>1/(1-POWER(1-$F96*$F$4*$F$8,Donnees!$D$4))</f>
        <v>18.144548696683167</v>
      </c>
      <c r="L96" s="10">
        <f>1/(1-POWER(1-$F96*$F$4*$F$9,Donnees!$D$4))</f>
        <v>159.45905234658639</v>
      </c>
      <c r="M96" s="12">
        <f>1/(1-POWER(1-$F96*$F$5*$F$8,Donnees!$D$4))</f>
        <v>35.807027675609113</v>
      </c>
      <c r="N96" s="12">
        <f>1/(1-POWER(1-$F96*$F$5*$F$9,Donnees!$D$4))</f>
        <v>318.4423202704682</v>
      </c>
      <c r="O96" s="6">
        <f>1/(1-POWER(1-$F96*$F$6*$F$8,Donnees!$D$4))</f>
        <v>106.46480407108302</v>
      </c>
      <c r="P96" s="6">
        <f>1/(1-POWER(1-$F96*$F$6*$F$9,Donnees!$D$4))</f>
        <v>954.37626361541584</v>
      </c>
      <c r="Q96" s="16">
        <f>1/(1-POWER(1-$F96*$F$7*$F$8,Donnees!$D$4))</f>
        <v>742.39824929896793</v>
      </c>
      <c r="R96" s="16">
        <f>1/(1-POWER(1-$F96*$F$7*$F$9,Donnees!$D$4))</f>
        <v>6677.7832477698757</v>
      </c>
    </row>
    <row r="97" spans="2:18" x14ac:dyDescent="0.35">
      <c r="B97" t="s">
        <v>989</v>
      </c>
      <c r="C97" t="s">
        <v>888</v>
      </c>
      <c r="D97" t="s">
        <v>52</v>
      </c>
      <c r="E97" s="3">
        <f>VLOOKUP(D97,$A$13:$F$16,5,FALSE)*_xlfn.XLOOKUP(Resultats!C97,Table1[name],Table1[cardRarityMultiplier])</f>
        <v>1.0416666666666666E-2</v>
      </c>
      <c r="F97" s="3">
        <f t="shared" si="7"/>
        <v>1.0483266240429404E-2</v>
      </c>
      <c r="G97" s="3">
        <f>1-POWER(1-E97,Donnees!$D$4)</f>
        <v>0.18895034296044488</v>
      </c>
      <c r="H97" s="3">
        <f t="shared" si="6"/>
        <v>5.2923957921015328</v>
      </c>
      <c r="I97" s="8">
        <f>1/(1-POWER(1-$F97*$F$3*$F$8,Donnees!$D$4))</f>
        <v>11.235256894630343</v>
      </c>
      <c r="J97" s="8">
        <f>1/(1-POWER(1-$F97*$F$3*$F$9,Donnees!$D$4))</f>
        <v>97.248442313271994</v>
      </c>
      <c r="K97" s="10">
        <f>1/(1-POWER(1-$F97*$F$4*$F$8,Donnees!$D$4))</f>
        <v>18.144548696683167</v>
      </c>
      <c r="L97" s="10">
        <f>1/(1-POWER(1-$F97*$F$4*$F$9,Donnees!$D$4))</f>
        <v>159.45905234658639</v>
      </c>
      <c r="M97" s="12">
        <f>1/(1-POWER(1-$F97*$F$5*$F$8,Donnees!$D$4))</f>
        <v>35.807027675609113</v>
      </c>
      <c r="N97" s="12">
        <f>1/(1-POWER(1-$F97*$F$5*$F$9,Donnees!$D$4))</f>
        <v>318.4423202704682</v>
      </c>
      <c r="O97" s="6">
        <f>1/(1-POWER(1-$F97*$F$6*$F$8,Donnees!$D$4))</f>
        <v>106.46480407108302</v>
      </c>
      <c r="P97" s="6">
        <f>1/(1-POWER(1-$F97*$F$6*$F$9,Donnees!$D$4))</f>
        <v>954.37626361541584</v>
      </c>
      <c r="Q97" s="16">
        <f>1/(1-POWER(1-$F97*$F$7*$F$8,Donnees!$D$4))</f>
        <v>742.39824929896793</v>
      </c>
      <c r="R97" s="16">
        <f>1/(1-POWER(1-$F97*$F$7*$F$9,Donnees!$D$4))</f>
        <v>6677.7832477698757</v>
      </c>
    </row>
    <row r="98" spans="2:18" x14ac:dyDescent="0.35">
      <c r="B98" t="s">
        <v>990</v>
      </c>
      <c r="C98" t="s">
        <v>892</v>
      </c>
      <c r="D98" t="s">
        <v>52</v>
      </c>
      <c r="E98" s="3">
        <f>VLOOKUP(D98,$A$13:$F$16,5,FALSE)*_xlfn.XLOOKUP(Resultats!C98,Table1[name],Table1[cardRarityMultiplier])</f>
        <v>1.0416666666666666E-2</v>
      </c>
      <c r="F98" s="3">
        <f t="shared" si="7"/>
        <v>1.0483266240429404E-2</v>
      </c>
      <c r="G98" s="3">
        <f>1-POWER(1-E98,Donnees!$D$4)</f>
        <v>0.18895034296044488</v>
      </c>
      <c r="H98" s="3">
        <f t="shared" si="6"/>
        <v>5.2923957921015328</v>
      </c>
      <c r="I98" s="8">
        <f>1/(1-POWER(1-$F98*$F$3*$F$8,Donnees!$D$4))</f>
        <v>11.235256894630343</v>
      </c>
      <c r="J98" s="8">
        <f>1/(1-POWER(1-$F98*$F$3*$F$9,Donnees!$D$4))</f>
        <v>97.248442313271994</v>
      </c>
      <c r="K98" s="10">
        <f>1/(1-POWER(1-$F98*$F$4*$F$8,Donnees!$D$4))</f>
        <v>18.144548696683167</v>
      </c>
      <c r="L98" s="10">
        <f>1/(1-POWER(1-$F98*$F$4*$F$9,Donnees!$D$4))</f>
        <v>159.45905234658639</v>
      </c>
      <c r="M98" s="12">
        <f>1/(1-POWER(1-$F98*$F$5*$F$8,Donnees!$D$4))</f>
        <v>35.807027675609113</v>
      </c>
      <c r="N98" s="12">
        <f>1/(1-POWER(1-$F98*$F$5*$F$9,Donnees!$D$4))</f>
        <v>318.4423202704682</v>
      </c>
      <c r="O98" s="6">
        <f>1/(1-POWER(1-$F98*$F$6*$F$8,Donnees!$D$4))</f>
        <v>106.46480407108302</v>
      </c>
      <c r="P98" s="6">
        <f>1/(1-POWER(1-$F98*$F$6*$F$9,Donnees!$D$4))</f>
        <v>954.37626361541584</v>
      </c>
      <c r="Q98" s="16">
        <f>1/(1-POWER(1-$F98*$F$7*$F$8,Donnees!$D$4))</f>
        <v>742.39824929896793</v>
      </c>
      <c r="R98" s="16">
        <f>1/(1-POWER(1-$F98*$F$7*$F$9,Donnees!$D$4))</f>
        <v>6677.7832477698757</v>
      </c>
    </row>
    <row r="99" spans="2:18" x14ac:dyDescent="0.35">
      <c r="B99" t="s">
        <v>991</v>
      </c>
      <c r="C99" t="s">
        <v>895</v>
      </c>
      <c r="D99" t="s">
        <v>52</v>
      </c>
      <c r="E99" s="3">
        <f>VLOOKUP(D99,$A$13:$F$16,5,FALSE)*_xlfn.XLOOKUP(Resultats!C99,Table1[name],Table1[cardRarityMultiplier])</f>
        <v>1.0416666666666666E-2</v>
      </c>
      <c r="F99" s="3">
        <f t="shared" si="7"/>
        <v>1.0483266240429404E-2</v>
      </c>
      <c r="G99" s="3">
        <f>1-POWER(1-E99,Donnees!$D$4)</f>
        <v>0.18895034296044488</v>
      </c>
      <c r="H99" s="3">
        <f t="shared" si="6"/>
        <v>5.2923957921015328</v>
      </c>
      <c r="I99" s="8">
        <f>1/(1-POWER(1-$F99*$F$3*$F$8,Donnees!$D$4))</f>
        <v>11.235256894630343</v>
      </c>
      <c r="J99" s="8">
        <f>1/(1-POWER(1-$F99*$F$3*$F$9,Donnees!$D$4))</f>
        <v>97.248442313271994</v>
      </c>
      <c r="K99" s="10">
        <f>1/(1-POWER(1-$F99*$F$4*$F$8,Donnees!$D$4))</f>
        <v>18.144548696683167</v>
      </c>
      <c r="L99" s="10">
        <f>1/(1-POWER(1-$F99*$F$4*$F$9,Donnees!$D$4))</f>
        <v>159.45905234658639</v>
      </c>
      <c r="M99" s="12">
        <f>1/(1-POWER(1-$F99*$F$5*$F$8,Donnees!$D$4))</f>
        <v>35.807027675609113</v>
      </c>
      <c r="N99" s="12">
        <f>1/(1-POWER(1-$F99*$F$5*$F$9,Donnees!$D$4))</f>
        <v>318.4423202704682</v>
      </c>
      <c r="O99" s="6">
        <f>1/(1-POWER(1-$F99*$F$6*$F$8,Donnees!$D$4))</f>
        <v>106.46480407108302</v>
      </c>
      <c r="P99" s="6">
        <f>1/(1-POWER(1-$F99*$F$6*$F$9,Donnees!$D$4))</f>
        <v>954.37626361541584</v>
      </c>
      <c r="Q99" s="16">
        <f>1/(1-POWER(1-$F99*$F$7*$F$8,Donnees!$D$4))</f>
        <v>742.39824929896793</v>
      </c>
      <c r="R99" s="16">
        <f>1/(1-POWER(1-$F99*$F$7*$F$9,Donnees!$D$4))</f>
        <v>6677.7832477698757</v>
      </c>
    </row>
    <row r="100" spans="2:18" x14ac:dyDescent="0.35">
      <c r="B100" t="s">
        <v>992</v>
      </c>
      <c r="C100" t="s">
        <v>898</v>
      </c>
      <c r="D100" t="s">
        <v>52</v>
      </c>
      <c r="E100" s="3">
        <f>VLOOKUP(D100,$A$13:$F$16,5,FALSE)*_xlfn.XLOOKUP(Resultats!C100,Table1[name],Table1[cardRarityMultiplier])</f>
        <v>1.0416666666666666E-2</v>
      </c>
      <c r="F100" s="3">
        <f t="shared" si="7"/>
        <v>1.0483266240429404E-2</v>
      </c>
      <c r="G100" s="3">
        <f>1-POWER(1-E100,Donnees!$D$4)</f>
        <v>0.18895034296044488</v>
      </c>
      <c r="H100" s="3">
        <f t="shared" si="6"/>
        <v>5.2923957921015328</v>
      </c>
      <c r="I100" s="8">
        <f>1/(1-POWER(1-$F100*$F$3*$F$8,Donnees!$D$4))</f>
        <v>11.235256894630343</v>
      </c>
      <c r="J100" s="8">
        <f>1/(1-POWER(1-$F100*$F$3*$F$9,Donnees!$D$4))</f>
        <v>97.248442313271994</v>
      </c>
      <c r="K100" s="10">
        <f>1/(1-POWER(1-$F100*$F$4*$F$8,Donnees!$D$4))</f>
        <v>18.144548696683167</v>
      </c>
      <c r="L100" s="10">
        <f>1/(1-POWER(1-$F100*$F$4*$F$9,Donnees!$D$4))</f>
        <v>159.45905234658639</v>
      </c>
      <c r="M100" s="12">
        <f>1/(1-POWER(1-$F100*$F$5*$F$8,Donnees!$D$4))</f>
        <v>35.807027675609113</v>
      </c>
      <c r="N100" s="12">
        <f>1/(1-POWER(1-$F100*$F$5*$F$9,Donnees!$D$4))</f>
        <v>318.4423202704682</v>
      </c>
      <c r="O100" s="6">
        <f>1/(1-POWER(1-$F100*$F$6*$F$8,Donnees!$D$4))</f>
        <v>106.46480407108302</v>
      </c>
      <c r="P100" s="6">
        <f>1/(1-POWER(1-$F100*$F$6*$F$9,Donnees!$D$4))</f>
        <v>954.37626361541584</v>
      </c>
      <c r="Q100" s="16">
        <f>1/(1-POWER(1-$F100*$F$7*$F$8,Donnees!$D$4))</f>
        <v>742.39824929896793</v>
      </c>
      <c r="R100" s="16">
        <f>1/(1-POWER(1-$F100*$F$7*$F$9,Donnees!$D$4))</f>
        <v>6677.7832477698757</v>
      </c>
    </row>
    <row r="101" spans="2:18" x14ac:dyDescent="0.35">
      <c r="B101" t="s">
        <v>993</v>
      </c>
      <c r="C101" t="s">
        <v>901</v>
      </c>
      <c r="D101" t="s">
        <v>52</v>
      </c>
      <c r="E101" s="3">
        <f>VLOOKUP(D101,$A$13:$F$16,5,FALSE)*_xlfn.XLOOKUP(Resultats!C101,Table1[name],Table1[cardRarityMultiplier])</f>
        <v>1.0416666666666666E-2</v>
      </c>
      <c r="F101" s="3">
        <f t="shared" si="7"/>
        <v>1.0483266240429404E-2</v>
      </c>
      <c r="G101" s="3">
        <f>1-POWER(1-E101,Donnees!$D$4)</f>
        <v>0.18895034296044488</v>
      </c>
      <c r="H101" s="3">
        <f t="shared" si="6"/>
        <v>5.2923957921015328</v>
      </c>
      <c r="I101" s="8">
        <f>1/(1-POWER(1-$F101*$F$3*$F$8,Donnees!$D$4))</f>
        <v>11.235256894630343</v>
      </c>
      <c r="J101" s="8">
        <f>1/(1-POWER(1-$F101*$F$3*$F$9,Donnees!$D$4))</f>
        <v>97.248442313271994</v>
      </c>
      <c r="K101" s="10">
        <f>1/(1-POWER(1-$F101*$F$4*$F$8,Donnees!$D$4))</f>
        <v>18.144548696683167</v>
      </c>
      <c r="L101" s="10">
        <f>1/(1-POWER(1-$F101*$F$4*$F$9,Donnees!$D$4))</f>
        <v>159.45905234658639</v>
      </c>
      <c r="M101" s="12">
        <f>1/(1-POWER(1-$F101*$F$5*$F$8,Donnees!$D$4))</f>
        <v>35.807027675609113</v>
      </c>
      <c r="N101" s="12">
        <f>1/(1-POWER(1-$F101*$F$5*$F$9,Donnees!$D$4))</f>
        <v>318.4423202704682</v>
      </c>
      <c r="O101" s="6">
        <f>1/(1-POWER(1-$F101*$F$6*$F$8,Donnees!$D$4))</f>
        <v>106.46480407108302</v>
      </c>
      <c r="P101" s="6">
        <f>1/(1-POWER(1-$F101*$F$6*$F$9,Donnees!$D$4))</f>
        <v>954.37626361541584</v>
      </c>
      <c r="Q101" s="16">
        <f>1/(1-POWER(1-$F101*$F$7*$F$8,Donnees!$D$4))</f>
        <v>742.39824929896793</v>
      </c>
      <c r="R101" s="16">
        <f>1/(1-POWER(1-$F101*$F$7*$F$9,Donnees!$D$4))</f>
        <v>6677.7832477698757</v>
      </c>
    </row>
    <row r="102" spans="2:18" x14ac:dyDescent="0.35">
      <c r="B102" t="s">
        <v>994</v>
      </c>
      <c r="C102" t="s">
        <v>904</v>
      </c>
      <c r="D102" t="s">
        <v>52</v>
      </c>
      <c r="E102" s="3">
        <f>VLOOKUP(D102,$A$13:$F$16,5,FALSE)*_xlfn.XLOOKUP(Resultats!C102,Table1[name],Table1[cardRarityMultiplier])</f>
        <v>1.0416666666666666E-2</v>
      </c>
      <c r="F102" s="3">
        <f t="shared" si="7"/>
        <v>1.0483266240429404E-2</v>
      </c>
      <c r="G102" s="3">
        <f>1-POWER(1-E102,Donnees!$D$4)</f>
        <v>0.18895034296044488</v>
      </c>
      <c r="H102" s="3">
        <f t="shared" si="6"/>
        <v>5.2923957921015328</v>
      </c>
      <c r="I102" s="8">
        <f>1/(1-POWER(1-$F102*$F$3*$F$8,Donnees!$D$4))</f>
        <v>11.235256894630343</v>
      </c>
      <c r="J102" s="8">
        <f>1/(1-POWER(1-$F102*$F$3*$F$9,Donnees!$D$4))</f>
        <v>97.248442313271994</v>
      </c>
      <c r="K102" s="10">
        <f>1/(1-POWER(1-$F102*$F$4*$F$8,Donnees!$D$4))</f>
        <v>18.144548696683167</v>
      </c>
      <c r="L102" s="10">
        <f>1/(1-POWER(1-$F102*$F$4*$F$9,Donnees!$D$4))</f>
        <v>159.45905234658639</v>
      </c>
      <c r="M102" s="12">
        <f>1/(1-POWER(1-$F102*$F$5*$F$8,Donnees!$D$4))</f>
        <v>35.807027675609113</v>
      </c>
      <c r="N102" s="12">
        <f>1/(1-POWER(1-$F102*$F$5*$F$9,Donnees!$D$4))</f>
        <v>318.4423202704682</v>
      </c>
      <c r="O102" s="6">
        <f>1/(1-POWER(1-$F102*$F$6*$F$8,Donnees!$D$4))</f>
        <v>106.46480407108302</v>
      </c>
      <c r="P102" s="6">
        <f>1/(1-POWER(1-$F102*$F$6*$F$9,Donnees!$D$4))</f>
        <v>954.37626361541584</v>
      </c>
      <c r="Q102" s="16">
        <f>1/(1-POWER(1-$F102*$F$7*$F$8,Donnees!$D$4))</f>
        <v>742.39824929896793</v>
      </c>
      <c r="R102" s="16">
        <f>1/(1-POWER(1-$F102*$F$7*$F$9,Donnees!$D$4))</f>
        <v>6677.7832477698757</v>
      </c>
    </row>
    <row r="103" spans="2:18" x14ac:dyDescent="0.35">
      <c r="B103" t="s">
        <v>995</v>
      </c>
      <c r="C103" t="s">
        <v>907</v>
      </c>
      <c r="D103" t="s">
        <v>52</v>
      </c>
      <c r="E103" s="3">
        <f>VLOOKUP(D103,$A$13:$F$16,5,FALSE)*_xlfn.XLOOKUP(Resultats!C103,Table1[name],Table1[cardRarityMultiplier])</f>
        <v>1.0416666666666666E-2</v>
      </c>
      <c r="F103" s="3">
        <f t="shared" si="7"/>
        <v>1.0483266240429404E-2</v>
      </c>
      <c r="G103" s="3">
        <f>1-POWER(1-E103,Donnees!$D$4)</f>
        <v>0.18895034296044488</v>
      </c>
      <c r="H103" s="3">
        <f t="shared" si="6"/>
        <v>5.2923957921015328</v>
      </c>
      <c r="I103" s="8">
        <f>1/(1-POWER(1-$F103*$F$3*$F$8,Donnees!$D$4))</f>
        <v>11.235256894630343</v>
      </c>
      <c r="J103" s="8">
        <f>1/(1-POWER(1-$F103*$F$3*$F$9,Donnees!$D$4))</f>
        <v>97.248442313271994</v>
      </c>
      <c r="K103" s="10">
        <f>1/(1-POWER(1-$F103*$F$4*$F$8,Donnees!$D$4))</f>
        <v>18.144548696683167</v>
      </c>
      <c r="L103" s="10">
        <f>1/(1-POWER(1-$F103*$F$4*$F$9,Donnees!$D$4))</f>
        <v>159.45905234658639</v>
      </c>
      <c r="M103" s="12">
        <f>1/(1-POWER(1-$F103*$F$5*$F$8,Donnees!$D$4))</f>
        <v>35.807027675609113</v>
      </c>
      <c r="N103" s="12">
        <f>1/(1-POWER(1-$F103*$F$5*$F$9,Donnees!$D$4))</f>
        <v>318.4423202704682</v>
      </c>
      <c r="O103" s="6">
        <f>1/(1-POWER(1-$F103*$F$6*$F$8,Donnees!$D$4))</f>
        <v>106.46480407108302</v>
      </c>
      <c r="P103" s="6">
        <f>1/(1-POWER(1-$F103*$F$6*$F$9,Donnees!$D$4))</f>
        <v>954.37626361541584</v>
      </c>
      <c r="Q103" s="16">
        <f>1/(1-POWER(1-$F103*$F$7*$F$8,Donnees!$D$4))</f>
        <v>742.39824929896793</v>
      </c>
      <c r="R103" s="16">
        <f>1/(1-POWER(1-$F103*$F$7*$F$9,Donnees!$D$4))</f>
        <v>6677.7832477698757</v>
      </c>
    </row>
    <row r="104" spans="2:18" x14ac:dyDescent="0.35">
      <c r="B104" t="s">
        <v>996</v>
      </c>
      <c r="C104" t="s">
        <v>910</v>
      </c>
      <c r="D104" t="s">
        <v>52</v>
      </c>
      <c r="E104" s="3">
        <f>VLOOKUP(D104,$A$13:$F$16,5,FALSE)*_xlfn.XLOOKUP(Resultats!C104,Table1[name],Table1[cardRarityMultiplier])</f>
        <v>1.0416666666666666E-2</v>
      </c>
      <c r="F104" s="3">
        <f t="shared" si="7"/>
        <v>1.0483266240429404E-2</v>
      </c>
      <c r="G104" s="3">
        <f>1-POWER(1-E104,Donnees!$D$4)</f>
        <v>0.18895034296044488</v>
      </c>
      <c r="H104" s="3">
        <f t="shared" si="6"/>
        <v>5.2923957921015328</v>
      </c>
      <c r="I104" s="8">
        <f>1/(1-POWER(1-$F104*$F$3*$F$8,Donnees!$D$4))</f>
        <v>11.235256894630343</v>
      </c>
      <c r="J104" s="8">
        <f>1/(1-POWER(1-$F104*$F$3*$F$9,Donnees!$D$4))</f>
        <v>97.248442313271994</v>
      </c>
      <c r="K104" s="10">
        <f>1/(1-POWER(1-$F104*$F$4*$F$8,Donnees!$D$4))</f>
        <v>18.144548696683167</v>
      </c>
      <c r="L104" s="10">
        <f>1/(1-POWER(1-$F104*$F$4*$F$9,Donnees!$D$4))</f>
        <v>159.45905234658639</v>
      </c>
      <c r="M104" s="12">
        <f>1/(1-POWER(1-$F104*$F$5*$F$8,Donnees!$D$4))</f>
        <v>35.807027675609113</v>
      </c>
      <c r="N104" s="12">
        <f>1/(1-POWER(1-$F104*$F$5*$F$9,Donnees!$D$4))</f>
        <v>318.4423202704682</v>
      </c>
      <c r="O104" s="6">
        <f>1/(1-POWER(1-$F104*$F$6*$F$8,Donnees!$D$4))</f>
        <v>106.46480407108302</v>
      </c>
      <c r="P104" s="6">
        <f>1/(1-POWER(1-$F104*$F$6*$F$9,Donnees!$D$4))</f>
        <v>954.37626361541584</v>
      </c>
      <c r="Q104" s="16">
        <f>1/(1-POWER(1-$F104*$F$7*$F$8,Donnees!$D$4))</f>
        <v>742.39824929896793</v>
      </c>
      <c r="R104" s="16">
        <f>1/(1-POWER(1-$F104*$F$7*$F$9,Donnees!$D$4))</f>
        <v>6677.7832477698757</v>
      </c>
    </row>
    <row r="105" spans="2:18" x14ac:dyDescent="0.35">
      <c r="B105" t="s">
        <v>997</v>
      </c>
      <c r="C105" t="s">
        <v>914</v>
      </c>
      <c r="D105" t="s">
        <v>70</v>
      </c>
      <c r="E105" s="3">
        <f>VLOOKUP(D105,$A$13:$F$16,5,FALSE)*_xlfn.XLOOKUP(Resultats!C105,Table1[name],Table1[cardRarityMultiplier])</f>
        <v>1.2E-2</v>
      </c>
      <c r="F105" s="3">
        <f t="shared" si="7"/>
        <v>1.2076722708974674E-2</v>
      </c>
      <c r="G105" s="3">
        <f>1-POWER(1-E105,Donnees!$D$4)</f>
        <v>0.21451319895896026</v>
      </c>
      <c r="H105" s="3">
        <f t="shared" si="6"/>
        <v>4.6617178096873921</v>
      </c>
      <c r="I105" s="8">
        <f>1/(1-POWER(1-$F105*$F$3*$F$8,Donnees!$D$4))</f>
        <v>9.8177034242507268</v>
      </c>
      <c r="J105" s="8">
        <f>1/(1-POWER(1-$F105*$F$3*$F$9,Donnees!$D$4))</f>
        <v>84.479968231682932</v>
      </c>
      <c r="K105" s="10">
        <f>1/(1-POWER(1-$F105*$F$4*$F$8,Donnees!$D$4))</f>
        <v>15.814488958922057</v>
      </c>
      <c r="L105" s="10">
        <f>1/(1-POWER(1-$F105*$F$4*$F$9,Donnees!$D$4))</f>
        <v>138.48213838284252</v>
      </c>
      <c r="M105" s="12">
        <f>1/(1-POWER(1-$F105*$F$5*$F$8,Donnees!$D$4))</f>
        <v>31.145831732597358</v>
      </c>
      <c r="N105" s="12">
        <f>1/(1-POWER(1-$F105*$F$5*$F$9,Donnees!$D$4))</f>
        <v>276.48837308590822</v>
      </c>
      <c r="O105" s="6">
        <f>1/(1-POWER(1-$F105*$F$6*$F$8,Donnees!$D$4))</f>
        <v>92.480261032095697</v>
      </c>
      <c r="P105" s="6">
        <f>1/(1-POWER(1-$F105*$F$6*$F$9,Donnees!$D$4))</f>
        <v>828.51431607704581</v>
      </c>
      <c r="Q105" s="16">
        <f>1/(1-POWER(1-$F105*$F$7*$F$8,Donnees!$D$4))</f>
        <v>644.50563016443709</v>
      </c>
      <c r="R105" s="16">
        <f>1/(1-POWER(1-$F105*$F$7*$F$9,Donnees!$D$4))</f>
        <v>5796.7495240968374</v>
      </c>
    </row>
    <row r="106" spans="2:18" x14ac:dyDescent="0.35">
      <c r="B106" t="s">
        <v>998</v>
      </c>
      <c r="C106" t="s">
        <v>919</v>
      </c>
      <c r="D106" t="s">
        <v>70</v>
      </c>
      <c r="E106" s="3">
        <f>VLOOKUP(D106,$A$13:$F$16,5,FALSE)*_xlfn.XLOOKUP(Resultats!C106,Table1[name],Table1[cardRarityMultiplier])</f>
        <v>1.2E-2</v>
      </c>
      <c r="F106" s="3">
        <f t="shared" si="7"/>
        <v>1.2076722708974674E-2</v>
      </c>
      <c r="G106" s="3">
        <f>1-POWER(1-E106,Donnees!$D$4)</f>
        <v>0.21451319895896026</v>
      </c>
      <c r="H106" s="3">
        <f t="shared" si="6"/>
        <v>4.6617178096873921</v>
      </c>
      <c r="I106" s="8">
        <f>1/(1-POWER(1-$F106*$F$3*$F$8,Donnees!$D$4))</f>
        <v>9.8177034242507268</v>
      </c>
      <c r="J106" s="8">
        <f>1/(1-POWER(1-$F106*$F$3*$F$9,Donnees!$D$4))</f>
        <v>84.479968231682932</v>
      </c>
      <c r="K106" s="10">
        <f>1/(1-POWER(1-$F106*$F$4*$F$8,Donnees!$D$4))</f>
        <v>15.814488958922057</v>
      </c>
      <c r="L106" s="10">
        <f>1/(1-POWER(1-$F106*$F$4*$F$9,Donnees!$D$4))</f>
        <v>138.48213838284252</v>
      </c>
      <c r="M106" s="12">
        <f>1/(1-POWER(1-$F106*$F$5*$F$8,Donnees!$D$4))</f>
        <v>31.145831732597358</v>
      </c>
      <c r="N106" s="12">
        <f>1/(1-POWER(1-$F106*$F$5*$F$9,Donnees!$D$4))</f>
        <v>276.48837308590822</v>
      </c>
      <c r="O106" s="6">
        <f>1/(1-POWER(1-$F106*$F$6*$F$8,Donnees!$D$4))</f>
        <v>92.480261032095697</v>
      </c>
      <c r="P106" s="6">
        <f>1/(1-POWER(1-$F106*$F$6*$F$9,Donnees!$D$4))</f>
        <v>828.51431607704581</v>
      </c>
      <c r="Q106" s="16">
        <f>1/(1-POWER(1-$F106*$F$7*$F$8,Donnees!$D$4))</f>
        <v>644.50563016443709</v>
      </c>
      <c r="R106" s="16">
        <f>1/(1-POWER(1-$F106*$F$7*$F$9,Donnees!$D$4))</f>
        <v>5796.7495240968374</v>
      </c>
    </row>
    <row r="107" spans="2:18" x14ac:dyDescent="0.35">
      <c r="B107" t="s">
        <v>999</v>
      </c>
      <c r="C107" t="s">
        <v>923</v>
      </c>
      <c r="D107" t="s">
        <v>305</v>
      </c>
      <c r="E107" s="3">
        <f>VLOOKUP(D107,$A$13:$F$16,5,FALSE)*_xlfn.XLOOKUP(Resultats!C107,Table1[name],Table1[cardRarityMultiplier])</f>
        <v>8.8235294117647058E-3</v>
      </c>
      <c r="F107" s="3">
        <f t="shared" si="7"/>
        <v>8.8799431683637305E-3</v>
      </c>
      <c r="G107" s="3">
        <f>1-POWER(1-E107,Donnees!$D$4)</f>
        <v>0.16243277107126597</v>
      </c>
      <c r="H107" s="3">
        <f t="shared" si="6"/>
        <v>6.1563931551796198</v>
      </c>
      <c r="I107" s="8">
        <f>1/(1-POWER(1-$F107*$F$3*$F$8,Donnees!$D$4))</f>
        <v>13.175495165058894</v>
      </c>
      <c r="J107" s="8">
        <f>1/(1-POWER(1-$F107*$F$3*$F$9,Donnees!$D$4))</f>
        <v>114.72113838668551</v>
      </c>
      <c r="K107" s="10">
        <f>1/(1-POWER(1-$F107*$F$4*$F$8,Donnees!$D$4))</f>
        <v>21.333311604482738</v>
      </c>
      <c r="L107" s="10">
        <f>1/(1-POWER(1-$F107*$F$4*$F$9,Donnees!$D$4))</f>
        <v>188.16433183484756</v>
      </c>
      <c r="M107" s="12">
        <f>1/(1-POWER(1-$F107*$F$5*$F$8,Donnees!$D$4))</f>
        <v>42.185636143924029</v>
      </c>
      <c r="N107" s="12">
        <f>1/(1-POWER(1-$F107*$F$5*$F$9,Donnees!$D$4))</f>
        <v>375.85299923613218</v>
      </c>
      <c r="O107" s="6">
        <f>1/(1-POWER(1-$F107*$F$6*$F$8,Donnees!$D$4))</f>
        <v>125.60159038873364</v>
      </c>
      <c r="P107" s="6">
        <f>1/(1-POWER(1-$F107*$F$6*$F$9,Donnees!$D$4))</f>
        <v>1126.6084071499856</v>
      </c>
      <c r="Q107" s="16">
        <f>1/(1-POWER(1-$F107*$F$7*$F$8,Donnees!$D$4))</f>
        <v>876.35657638905536</v>
      </c>
      <c r="R107" s="16">
        <f>1/(1-POWER(1-$F107*$F$7*$F$9,Donnees!$D$4))</f>
        <v>7883.4083438508196</v>
      </c>
    </row>
    <row r="108" spans="2:18" x14ac:dyDescent="0.35">
      <c r="B108" t="s">
        <v>1015</v>
      </c>
      <c r="C108" t="s">
        <v>1016</v>
      </c>
      <c r="D108" t="s">
        <v>305</v>
      </c>
      <c r="E108" s="3">
        <f>VLOOKUP(D108,$A$13:$F$16,5,FALSE)*_xlfn.XLOOKUP(Resultats!C108,Table1[name],Table1[cardRarityMultiplier])</f>
        <v>8.8235294117647058E-3</v>
      </c>
      <c r="F108" s="3">
        <f t="shared" si="7"/>
        <v>8.8799431683637305E-3</v>
      </c>
      <c r="G108" s="3">
        <f>1-POWER(1-E108,Donnees!$D$4)</f>
        <v>0.16243277107126597</v>
      </c>
      <c r="H108" s="3">
        <f t="shared" si="6"/>
        <v>6.1563931551796198</v>
      </c>
      <c r="I108" s="8">
        <f>1/(1-POWER(1-$F108*$F$3*$F$8,Donnees!$D$4))</f>
        <v>13.175495165058894</v>
      </c>
      <c r="J108" s="8">
        <f>1/(1-POWER(1-$F108*$F$3*$F$9,Donnees!$D$4))</f>
        <v>114.72113838668551</v>
      </c>
      <c r="K108" s="10">
        <f>1/(1-POWER(1-$F108*$F$4*$F$8,Donnees!$D$4))</f>
        <v>21.333311604482738</v>
      </c>
      <c r="L108" s="10">
        <f>1/(1-POWER(1-$F108*$F$4*$F$9,Donnees!$D$4))</f>
        <v>188.16433183484756</v>
      </c>
      <c r="M108" s="12">
        <f>1/(1-POWER(1-$F108*$F$5*$F$8,Donnees!$D$4))</f>
        <v>42.185636143924029</v>
      </c>
      <c r="N108" s="12">
        <f>1/(1-POWER(1-$F108*$F$5*$F$9,Donnees!$D$4))</f>
        <v>375.85299923613218</v>
      </c>
      <c r="O108" s="6">
        <f>1/(1-POWER(1-$F108*$F$6*$F$8,Donnees!$D$4))</f>
        <v>125.60159038873364</v>
      </c>
      <c r="P108" s="6">
        <f>1/(1-POWER(1-$F108*$F$6*$F$9,Donnees!$D$4))</f>
        <v>1126.6084071499856</v>
      </c>
      <c r="Q108" s="16">
        <f>1/(1-POWER(1-$F108*$F$7*$F$8,Donnees!$D$4))</f>
        <v>876.35657638905536</v>
      </c>
      <c r="R108" s="16">
        <f>1/(1-POWER(1-$F108*$F$7*$F$9,Donnees!$D$4))</f>
        <v>7883.4083438508196</v>
      </c>
    </row>
    <row r="109" spans="2:18" x14ac:dyDescent="0.35">
      <c r="B109" t="s">
        <v>1000</v>
      </c>
      <c r="C109" t="s">
        <v>927</v>
      </c>
      <c r="D109" t="s">
        <v>52</v>
      </c>
      <c r="E109" s="3">
        <f>VLOOKUP(D109,$A$13:$F$16,5,FALSE)*_xlfn.XLOOKUP(Resultats!C109,Table1[name],Table1[cardRarityMultiplier])</f>
        <v>1.0416666666666666E-2</v>
      </c>
      <c r="F109" s="3">
        <f t="shared" si="7"/>
        <v>1.0483266240429404E-2</v>
      </c>
      <c r="G109" s="3">
        <f>1-POWER(1-E109,Donnees!$D$4)</f>
        <v>0.18895034296044488</v>
      </c>
      <c r="H109" s="3">
        <f t="shared" si="6"/>
        <v>5.2923957921015328</v>
      </c>
      <c r="I109" s="8">
        <f>1/(1-POWER(1-$F109*$F$3*$F$8,Donnees!$D$4))</f>
        <v>11.235256894630343</v>
      </c>
      <c r="J109" s="8">
        <f>1/(1-POWER(1-$F109*$F$3*$F$9,Donnees!$D$4))</f>
        <v>97.248442313271994</v>
      </c>
      <c r="K109" s="10">
        <f>1/(1-POWER(1-$F109*$F$4*$F$8,Donnees!$D$4))</f>
        <v>18.144548696683167</v>
      </c>
      <c r="L109" s="10">
        <f>1/(1-POWER(1-$F109*$F$4*$F$9,Donnees!$D$4))</f>
        <v>159.45905234658639</v>
      </c>
      <c r="M109" s="12">
        <f>1/(1-POWER(1-$F109*$F$5*$F$8,Donnees!$D$4))</f>
        <v>35.807027675609113</v>
      </c>
      <c r="N109" s="12">
        <f>1/(1-POWER(1-$F109*$F$5*$F$9,Donnees!$D$4))</f>
        <v>318.4423202704682</v>
      </c>
      <c r="O109" s="6">
        <f>1/(1-POWER(1-$F109*$F$6*$F$8,Donnees!$D$4))</f>
        <v>106.46480407108302</v>
      </c>
      <c r="P109" s="6">
        <f>1/(1-POWER(1-$F109*$F$6*$F$9,Donnees!$D$4))</f>
        <v>954.37626361541584</v>
      </c>
      <c r="Q109" s="16">
        <f>1/(1-POWER(1-$F109*$F$7*$F$8,Donnees!$D$4))</f>
        <v>742.39824929896793</v>
      </c>
      <c r="R109" s="16">
        <f>1/(1-POWER(1-$F109*$F$7*$F$9,Donnees!$D$4))</f>
        <v>6677.7832477698757</v>
      </c>
    </row>
    <row r="110" spans="2:18" x14ac:dyDescent="0.35">
      <c r="B110" t="s">
        <v>1001</v>
      </c>
      <c r="C110" t="s">
        <v>931</v>
      </c>
      <c r="D110" t="s">
        <v>70</v>
      </c>
      <c r="E110" s="3">
        <f>VLOOKUP(D110,$A$13:$F$16,5,FALSE)*_xlfn.XLOOKUP(Resultats!C110,Table1[name],Table1[cardRarityMultiplier])</f>
        <v>1.2E-2</v>
      </c>
      <c r="F110" s="3">
        <f t="shared" si="7"/>
        <v>1.2076722708974674E-2</v>
      </c>
      <c r="G110" s="3">
        <f>1-POWER(1-E110,Donnees!$D$4)</f>
        <v>0.21451319895896026</v>
      </c>
      <c r="H110" s="3">
        <f t="shared" si="6"/>
        <v>4.6617178096873921</v>
      </c>
      <c r="I110" s="8">
        <f>1/(1-POWER(1-$F110*$F$3*$F$8,Donnees!$D$4))</f>
        <v>9.8177034242507268</v>
      </c>
      <c r="J110" s="8">
        <f>1/(1-POWER(1-$F110*$F$3*$F$9,Donnees!$D$4))</f>
        <v>84.479968231682932</v>
      </c>
      <c r="K110" s="10">
        <f>1/(1-POWER(1-$F110*$F$4*$F$8,Donnees!$D$4))</f>
        <v>15.814488958922057</v>
      </c>
      <c r="L110" s="10">
        <f>1/(1-POWER(1-$F110*$F$4*$F$9,Donnees!$D$4))</f>
        <v>138.48213838284252</v>
      </c>
      <c r="M110" s="12">
        <f>1/(1-POWER(1-$F110*$F$5*$F$8,Donnees!$D$4))</f>
        <v>31.145831732597358</v>
      </c>
      <c r="N110" s="12">
        <f>1/(1-POWER(1-$F110*$F$5*$F$9,Donnees!$D$4))</f>
        <v>276.48837308590822</v>
      </c>
      <c r="O110" s="6">
        <f>1/(1-POWER(1-$F110*$F$6*$F$8,Donnees!$D$4))</f>
        <v>92.480261032095697</v>
      </c>
      <c r="P110" s="6">
        <f>1/(1-POWER(1-$F110*$F$6*$F$9,Donnees!$D$4))</f>
        <v>828.51431607704581</v>
      </c>
      <c r="Q110" s="16">
        <f>1/(1-POWER(1-$F110*$F$7*$F$8,Donnees!$D$4))</f>
        <v>644.50563016443709</v>
      </c>
      <c r="R110" s="16">
        <f>1/(1-POWER(1-$F110*$F$7*$F$9,Donnees!$D$4))</f>
        <v>5796.7495240968374</v>
      </c>
    </row>
    <row r="111" spans="2:18" x14ac:dyDescent="0.35">
      <c r="B111" t="s">
        <v>1002</v>
      </c>
      <c r="C111" t="s">
        <v>935</v>
      </c>
      <c r="D111" t="s">
        <v>52</v>
      </c>
      <c r="E111" s="3">
        <f>VLOOKUP(D111,$A$13:$F$16,5,FALSE)*_xlfn.XLOOKUP(Resultats!C111,Table1[name],Table1[cardRarityMultiplier])</f>
        <v>1.0416666666666666E-2</v>
      </c>
      <c r="F111" s="3">
        <f t="shared" si="7"/>
        <v>1.0483266240429404E-2</v>
      </c>
      <c r="G111" s="3">
        <f>1-POWER(1-E111,Donnees!$D$4)</f>
        <v>0.18895034296044488</v>
      </c>
      <c r="H111" s="3">
        <f t="shared" si="6"/>
        <v>5.2923957921015328</v>
      </c>
      <c r="I111" s="8">
        <f>1/(1-POWER(1-$F111*$F$3*$F$8,Donnees!$D$4))</f>
        <v>11.235256894630343</v>
      </c>
      <c r="J111" s="8">
        <f>1/(1-POWER(1-$F111*$F$3*$F$9,Donnees!$D$4))</f>
        <v>97.248442313271994</v>
      </c>
      <c r="K111" s="10">
        <f>1/(1-POWER(1-$F111*$F$4*$F$8,Donnees!$D$4))</f>
        <v>18.144548696683167</v>
      </c>
      <c r="L111" s="10">
        <f>1/(1-POWER(1-$F111*$F$4*$F$9,Donnees!$D$4))</f>
        <v>159.45905234658639</v>
      </c>
      <c r="M111" s="12">
        <f>1/(1-POWER(1-$F111*$F$5*$F$8,Donnees!$D$4))</f>
        <v>35.807027675609113</v>
      </c>
      <c r="N111" s="12">
        <f>1/(1-POWER(1-$F111*$F$5*$F$9,Donnees!$D$4))</f>
        <v>318.4423202704682</v>
      </c>
      <c r="O111" s="6">
        <f>1/(1-POWER(1-$F111*$F$6*$F$8,Donnees!$D$4))</f>
        <v>106.46480407108302</v>
      </c>
      <c r="P111" s="6">
        <f>1/(1-POWER(1-$F111*$F$6*$F$9,Donnees!$D$4))</f>
        <v>954.37626361541584</v>
      </c>
      <c r="Q111" s="16">
        <f>1/(1-POWER(1-$F111*$F$7*$F$8,Donnees!$D$4))</f>
        <v>742.39824929896793</v>
      </c>
      <c r="R111" s="16">
        <f>1/(1-POWER(1-$F111*$F$7*$F$9,Donnees!$D$4))</f>
        <v>6677.7832477698757</v>
      </c>
    </row>
    <row r="112" spans="2:18" x14ac:dyDescent="0.35">
      <c r="B112" t="s">
        <v>1003</v>
      </c>
      <c r="C112" t="s">
        <v>939</v>
      </c>
      <c r="D112" t="s">
        <v>70</v>
      </c>
      <c r="E112" s="3">
        <f>VLOOKUP(D112,$A$13:$F$16,5,FALSE)*_xlfn.XLOOKUP(Resultats!C112,Table1[name],Table1[cardRarityMultiplier])</f>
        <v>1.2E-2</v>
      </c>
      <c r="F112" s="3">
        <f t="shared" si="7"/>
        <v>1.2076722708974674E-2</v>
      </c>
      <c r="G112" s="3">
        <f>1-POWER(1-E112,Donnees!$D$4)</f>
        <v>0.21451319895896026</v>
      </c>
      <c r="H112" s="3">
        <f t="shared" si="6"/>
        <v>4.6617178096873921</v>
      </c>
      <c r="I112" s="8">
        <f>1/(1-POWER(1-$F112*$F$3*$F$8,Donnees!$D$4))</f>
        <v>9.8177034242507268</v>
      </c>
      <c r="J112" s="8">
        <f>1/(1-POWER(1-$F112*$F$3*$F$9,Donnees!$D$4))</f>
        <v>84.479968231682932</v>
      </c>
      <c r="K112" s="10">
        <f>1/(1-POWER(1-$F112*$F$4*$F$8,Donnees!$D$4))</f>
        <v>15.814488958922057</v>
      </c>
      <c r="L112" s="10">
        <f>1/(1-POWER(1-$F112*$F$4*$F$9,Donnees!$D$4))</f>
        <v>138.48213838284252</v>
      </c>
      <c r="M112" s="12">
        <f>1/(1-POWER(1-$F112*$F$5*$F$8,Donnees!$D$4))</f>
        <v>31.145831732597358</v>
      </c>
      <c r="N112" s="12">
        <f>1/(1-POWER(1-$F112*$F$5*$F$9,Donnees!$D$4))</f>
        <v>276.48837308590822</v>
      </c>
      <c r="O112" s="6">
        <f>1/(1-POWER(1-$F112*$F$6*$F$8,Donnees!$D$4))</f>
        <v>92.480261032095697</v>
      </c>
      <c r="P112" s="6">
        <f>1/(1-POWER(1-$F112*$F$6*$F$9,Donnees!$D$4))</f>
        <v>828.51431607704581</v>
      </c>
      <c r="Q112" s="16">
        <f>1/(1-POWER(1-$F112*$F$7*$F$8,Donnees!$D$4))</f>
        <v>644.50563016443709</v>
      </c>
      <c r="R112" s="16">
        <f>1/(1-POWER(1-$F112*$F$7*$F$9,Donnees!$D$4))</f>
        <v>5796.7495240968374</v>
      </c>
    </row>
    <row r="113" spans="2:18" x14ac:dyDescent="0.35">
      <c r="B113" t="s">
        <v>1004</v>
      </c>
      <c r="C113" t="s">
        <v>944</v>
      </c>
      <c r="D113" t="s">
        <v>52</v>
      </c>
      <c r="E113" s="3">
        <f>VLOOKUP(D113,$A$13:$F$16,5,FALSE)*_xlfn.XLOOKUP(Resultats!C113,Table1[name],Table1[cardRarityMultiplier])</f>
        <v>1.0416666666666666E-2</v>
      </c>
      <c r="F113" s="3">
        <f t="shared" si="7"/>
        <v>1.0483266240429404E-2</v>
      </c>
      <c r="G113" s="3">
        <f>1-POWER(1-E113,Donnees!$D$4)</f>
        <v>0.18895034296044488</v>
      </c>
      <c r="H113" s="3">
        <f t="shared" si="6"/>
        <v>5.2923957921015328</v>
      </c>
      <c r="I113" s="8">
        <f>1/(1-POWER(1-$F113*$F$3*$F$8,Donnees!$D$4))</f>
        <v>11.235256894630343</v>
      </c>
      <c r="J113" s="8">
        <f>1/(1-POWER(1-$F113*$F$3*$F$9,Donnees!$D$4))</f>
        <v>97.248442313271994</v>
      </c>
      <c r="K113" s="10">
        <f>1/(1-POWER(1-$F113*$F$4*$F$8,Donnees!$D$4))</f>
        <v>18.144548696683167</v>
      </c>
      <c r="L113" s="10">
        <f>1/(1-POWER(1-$F113*$F$4*$F$9,Donnees!$D$4))</f>
        <v>159.45905234658639</v>
      </c>
      <c r="M113" s="12">
        <f>1/(1-POWER(1-$F113*$F$5*$F$8,Donnees!$D$4))</f>
        <v>35.807027675609113</v>
      </c>
      <c r="N113" s="12">
        <f>1/(1-POWER(1-$F113*$F$5*$F$9,Donnees!$D$4))</f>
        <v>318.4423202704682</v>
      </c>
      <c r="O113" s="6">
        <f>1/(1-POWER(1-$F113*$F$6*$F$8,Donnees!$D$4))</f>
        <v>106.46480407108302</v>
      </c>
      <c r="P113" s="6">
        <f>1/(1-POWER(1-$F113*$F$6*$F$9,Donnees!$D$4))</f>
        <v>954.37626361541584</v>
      </c>
      <c r="Q113" s="16">
        <f>1/(1-POWER(1-$F113*$F$7*$F$8,Donnees!$D$4))</f>
        <v>742.39824929896793</v>
      </c>
      <c r="R113" s="16">
        <f>1/(1-POWER(1-$F113*$F$7*$F$9,Donnees!$D$4))</f>
        <v>6677.7832477698757</v>
      </c>
    </row>
    <row r="114" spans="2:18" x14ac:dyDescent="0.35">
      <c r="B114" t="s">
        <v>1005</v>
      </c>
      <c r="C114" t="s">
        <v>948</v>
      </c>
      <c r="D114" t="s">
        <v>305</v>
      </c>
      <c r="E114" s="3">
        <f>VLOOKUP(D114,$A$13:$F$16,5,FALSE)*_xlfn.XLOOKUP(Resultats!C114,Table1[name],Table1[cardRarityMultiplier])</f>
        <v>8.8235294117647058E-3</v>
      </c>
      <c r="F114" s="3">
        <f t="shared" si="7"/>
        <v>8.8799431683637305E-3</v>
      </c>
      <c r="G114" s="3">
        <f>1-POWER(1-E114,Donnees!$D$4)</f>
        <v>0.16243277107126597</v>
      </c>
      <c r="H114" s="3">
        <f t="shared" si="6"/>
        <v>6.1563931551796198</v>
      </c>
      <c r="I114" s="8">
        <f>1/(1-POWER(1-$F114*$F$3*$F$8,Donnees!$D$4))</f>
        <v>13.175495165058894</v>
      </c>
      <c r="J114" s="8">
        <f>1/(1-POWER(1-$F114*$F$3*$F$9,Donnees!$D$4))</f>
        <v>114.72113838668551</v>
      </c>
      <c r="K114" s="10">
        <f>1/(1-POWER(1-$F114*$F$4*$F$8,Donnees!$D$4))</f>
        <v>21.333311604482738</v>
      </c>
      <c r="L114" s="10">
        <f>1/(1-POWER(1-$F114*$F$4*$F$9,Donnees!$D$4))</f>
        <v>188.16433183484756</v>
      </c>
      <c r="M114" s="12">
        <f>1/(1-POWER(1-$F114*$F$5*$F$8,Donnees!$D$4))</f>
        <v>42.185636143924029</v>
      </c>
      <c r="N114" s="12">
        <f>1/(1-POWER(1-$F114*$F$5*$F$9,Donnees!$D$4))</f>
        <v>375.85299923613218</v>
      </c>
      <c r="O114" s="6">
        <f>1/(1-POWER(1-$F114*$F$6*$F$8,Donnees!$D$4))</f>
        <v>125.60159038873364</v>
      </c>
      <c r="P114" s="6">
        <f>1/(1-POWER(1-$F114*$F$6*$F$9,Donnees!$D$4))</f>
        <v>1126.6084071499856</v>
      </c>
      <c r="Q114" s="16">
        <f>1/(1-POWER(1-$F114*$F$7*$F$8,Donnees!$D$4))</f>
        <v>876.35657638905536</v>
      </c>
      <c r="R114" s="16">
        <f>1/(1-POWER(1-$F114*$F$7*$F$9,Donnees!$D$4))</f>
        <v>7883.4083438508196</v>
      </c>
    </row>
    <row r="115" spans="2:18" x14ac:dyDescent="0.35">
      <c r="B115" t="s">
        <v>1006</v>
      </c>
      <c r="C115" t="s">
        <v>952</v>
      </c>
      <c r="D115" t="s">
        <v>52</v>
      </c>
      <c r="E115" s="3">
        <f>VLOOKUP(D115,$A$13:$F$16,5,FALSE)*_xlfn.XLOOKUP(Resultats!C115,Table1[name],Table1[cardRarityMultiplier])</f>
        <v>1.0416666666666666E-2</v>
      </c>
      <c r="F115" s="3">
        <f t="shared" si="7"/>
        <v>1.0483266240429404E-2</v>
      </c>
      <c r="G115" s="3">
        <f>1-POWER(1-E115,Donnees!$D$4)</f>
        <v>0.18895034296044488</v>
      </c>
      <c r="H115" s="3">
        <f t="shared" si="6"/>
        <v>5.2923957921015328</v>
      </c>
      <c r="I115" s="8">
        <f>1/(1-POWER(1-$F115*$F$3*$F$8,Donnees!$D$4))</f>
        <v>11.235256894630343</v>
      </c>
      <c r="J115" s="8">
        <f>1/(1-POWER(1-$F115*$F$3*$F$9,Donnees!$D$4))</f>
        <v>97.248442313271994</v>
      </c>
      <c r="K115" s="10">
        <f>1/(1-POWER(1-$F115*$F$4*$F$8,Donnees!$D$4))</f>
        <v>18.144548696683167</v>
      </c>
      <c r="L115" s="10">
        <f>1/(1-POWER(1-$F115*$F$4*$F$9,Donnees!$D$4))</f>
        <v>159.45905234658639</v>
      </c>
      <c r="M115" s="12">
        <f>1/(1-POWER(1-$F115*$F$5*$F$8,Donnees!$D$4))</f>
        <v>35.807027675609113</v>
      </c>
      <c r="N115" s="12">
        <f>1/(1-POWER(1-$F115*$F$5*$F$9,Donnees!$D$4))</f>
        <v>318.4423202704682</v>
      </c>
      <c r="O115" s="6">
        <f>1/(1-POWER(1-$F115*$F$6*$F$8,Donnees!$D$4))</f>
        <v>106.46480407108302</v>
      </c>
      <c r="P115" s="6">
        <f>1/(1-POWER(1-$F115*$F$6*$F$9,Donnees!$D$4))</f>
        <v>954.37626361541584</v>
      </c>
      <c r="Q115" s="16">
        <f>1/(1-POWER(1-$F115*$F$7*$F$8,Donnees!$D$4))</f>
        <v>742.39824929896793</v>
      </c>
      <c r="R115" s="16">
        <f>1/(1-POWER(1-$F115*$F$7*$F$9,Donnees!$D$4))</f>
        <v>6677.7832477698757</v>
      </c>
    </row>
    <row r="116" spans="2:18" x14ac:dyDescent="0.35">
      <c r="B116" t="s">
        <v>1007</v>
      </c>
      <c r="C116" t="s">
        <v>1009</v>
      </c>
      <c r="D116" t="s">
        <v>52</v>
      </c>
      <c r="E116" s="3">
        <f>VLOOKUP(D116,$A$13:$F$16,5,FALSE)*_xlfn.XLOOKUP(Resultats!C116,Table1[name],Table1[cardRarityMultiplier])</f>
        <v>1.0416666666666666E-2</v>
      </c>
      <c r="F116" s="3">
        <f t="shared" ref="F116:F117" si="8">E116/$E$118</f>
        <v>1.0483266240429404E-2</v>
      </c>
      <c r="G116" s="3">
        <f>1-POWER(1-E116,Donnees!$D$4)</f>
        <v>0.18895034296044488</v>
      </c>
      <c r="H116" s="3">
        <f t="shared" si="6"/>
        <v>5.2923957921015328</v>
      </c>
      <c r="I116" s="8">
        <f>1/(1-POWER(1-$F116*$F$3*$F$8,Donnees!$D$4))</f>
        <v>11.235256894630343</v>
      </c>
      <c r="J116" s="8">
        <f>1/(1-POWER(1-$F116*$F$3*$F$9,Donnees!$D$4))</f>
        <v>97.248442313271994</v>
      </c>
      <c r="K116" s="10">
        <f>1/(1-POWER(1-$F116*$F$4*$F$8,Donnees!$D$4))</f>
        <v>18.144548696683167</v>
      </c>
      <c r="L116" s="10">
        <f>1/(1-POWER(1-$F116*$F$4*$F$9,Donnees!$D$4))</f>
        <v>159.45905234658639</v>
      </c>
      <c r="M116" s="12">
        <f>1/(1-POWER(1-$F116*$F$5*$F$8,Donnees!$D$4))</f>
        <v>35.807027675609113</v>
      </c>
      <c r="N116" s="12">
        <f>1/(1-POWER(1-$F116*$F$5*$F$9,Donnees!$D$4))</f>
        <v>318.4423202704682</v>
      </c>
      <c r="O116" s="6">
        <f>1/(1-POWER(1-$F116*$F$6*$F$8,Donnees!$D$4))</f>
        <v>106.46480407108302</v>
      </c>
      <c r="P116" s="6">
        <f>1/(1-POWER(1-$F116*$F$6*$F$9,Donnees!$D$4))</f>
        <v>954.37626361541584</v>
      </c>
      <c r="Q116" s="16">
        <f>1/(1-POWER(1-$F116*$F$7*$F$8,Donnees!$D$4))</f>
        <v>742.39824929896793</v>
      </c>
      <c r="R116" s="16">
        <f>1/(1-POWER(1-$F116*$F$7*$F$9,Donnees!$D$4))</f>
        <v>6677.7832477698757</v>
      </c>
    </row>
    <row r="117" spans="2:18" x14ac:dyDescent="0.35">
      <c r="B117" t="s">
        <v>1008</v>
      </c>
      <c r="C117" t="s">
        <v>958</v>
      </c>
      <c r="D117" t="s">
        <v>52</v>
      </c>
      <c r="E117" s="3">
        <f>VLOOKUP(D117,$A$13:$F$16,5,FALSE)*_xlfn.XLOOKUP(Resultats!C117,Table1[name],Table1[cardRarityMultiplier])</f>
        <v>1.0416666666666666E-2</v>
      </c>
      <c r="F117" s="3">
        <f t="shared" si="8"/>
        <v>1.0483266240429404E-2</v>
      </c>
      <c r="G117" s="3">
        <f>1-POWER(1-E117,Donnees!$D$4)</f>
        <v>0.18895034296044488</v>
      </c>
      <c r="H117" s="3">
        <f t="shared" si="6"/>
        <v>5.2923957921015328</v>
      </c>
      <c r="I117" s="8">
        <f>1/(1-POWER(1-$F117*$F$3*$F$8,Donnees!$D$4))</f>
        <v>11.235256894630343</v>
      </c>
      <c r="J117" s="8">
        <f>1/(1-POWER(1-$F117*$F$3*$F$9,Donnees!$D$4))</f>
        <v>97.248442313271994</v>
      </c>
      <c r="K117" s="10">
        <f>1/(1-POWER(1-$F117*$F$4*$F$8,Donnees!$D$4))</f>
        <v>18.144548696683167</v>
      </c>
      <c r="L117" s="10">
        <f>1/(1-POWER(1-$F117*$F$4*$F$9,Donnees!$D$4))</f>
        <v>159.45905234658639</v>
      </c>
      <c r="M117" s="12">
        <f>1/(1-POWER(1-$F117*$F$5*$F$8,Donnees!$D$4))</f>
        <v>35.807027675609113</v>
      </c>
      <c r="N117" s="12">
        <f>1/(1-POWER(1-$F117*$F$5*$F$9,Donnees!$D$4))</f>
        <v>318.4423202704682</v>
      </c>
      <c r="O117" s="6">
        <f>1/(1-POWER(1-$F117*$F$6*$F$8,Donnees!$D$4))</f>
        <v>106.46480407108302</v>
      </c>
      <c r="P117" s="6">
        <f>1/(1-POWER(1-$F117*$F$6*$F$9,Donnees!$D$4))</f>
        <v>954.37626361541584</v>
      </c>
      <c r="Q117" s="16">
        <f>1/(1-POWER(1-$F117*$F$7*$F$8,Donnees!$D$4))</f>
        <v>742.39824929896793</v>
      </c>
      <c r="R117" s="16">
        <f>1/(1-POWER(1-$F117*$F$7*$F$9,Donnees!$D$4))</f>
        <v>6677.7832477698757</v>
      </c>
    </row>
    <row r="118" spans="2:18" x14ac:dyDescent="0.35">
      <c r="E118" s="4">
        <f>SUM(E20:E117)</f>
        <v>0.99364705882352855</v>
      </c>
      <c r="F118" s="4">
        <f>SUM(F20:F117)</f>
        <v>0.99999999999999978</v>
      </c>
      <c r="G118" s="3"/>
      <c r="H118" s="3"/>
    </row>
    <row r="119" spans="2:18" x14ac:dyDescent="0.35">
      <c r="G119" s="15"/>
      <c r="H119" s="13">
        <v>30</v>
      </c>
      <c r="I119" s="14" cm="1">
        <f t="array" ref="I119">SUM((1-_xlfn._xlws.FILTER(1/I$20:I$117,(1/I$20:I$117)&lt;&gt;""))^($H119))</f>
        <v>7.1214884292052716</v>
      </c>
      <c r="J119" s="14" cm="1">
        <f t="array" ref="J119">SUM((1-_xlfn._xlws.FILTER(1/J$20:J$117,(1/J$20:J$117)&lt;&gt;""))^($H119))</f>
        <v>72.546666070547488</v>
      </c>
      <c r="K119" s="14" cm="1">
        <f t="array" ref="K119">SUM((1-_xlfn._xlws.FILTER(1/K$20:K$117,(1/K$20:K$117)&lt;&gt;""))^($H119))</f>
        <v>19.389252226372701</v>
      </c>
      <c r="L119" s="14" cm="1">
        <f t="array" ref="L119">SUM((1-_xlfn._xlws.FILTER(1/L$20:L$117,(1/L$20:L$117)&lt;&gt;""))^($H119))</f>
        <v>81.586707424145033</v>
      </c>
      <c r="M119" s="14" cm="1">
        <f t="array" ref="M119">SUM((1-_xlfn._xlws.FILTER(1/M$20:M$117,(1/M$20:M$117)&lt;&gt;""))^($H119))</f>
        <v>43.218204211834937</v>
      </c>
      <c r="N119" s="14" cm="1">
        <f t="array" ref="N119">SUM((1-_xlfn._xlws.FILTER(1/N$20:N$117,(1/N$20:N$117)&lt;&gt;""))^($H119))</f>
        <v>89.409177774514063</v>
      </c>
      <c r="O119" s="14" cm="1">
        <f t="array" ref="O119">SUM((1-_xlfn._xlws.FILTER(1/O$20:O$117,(1/O$20:O$117)&lt;&gt;""))^($H119))</f>
        <v>74.462786955549689</v>
      </c>
      <c r="P119" s="14" cm="1">
        <f t="array" ref="P119">SUM((1-_xlfn._xlws.FILTER(1/P$20:P$117,(1/P$20:P$117)&lt;&gt;""))^($H119))</f>
        <v>95.046427764965799</v>
      </c>
      <c r="Q119" s="14" cm="1">
        <f t="array" ref="Q119">SUM((1-_xlfn._xlws.FILTER(1/Q$20:Q$117,(1/Q$20:Q$117)&lt;&gt;""))^($H119))</f>
        <v>94.219374396829309</v>
      </c>
      <c r="R119" s="14" cm="1">
        <f t="array" ref="R119">SUM((1-_xlfn._xlws.FILTER(1/R$20:R$117,(1/R$20:R$117)&lt;&gt;""))^($H119))</f>
        <v>97.572384699567749</v>
      </c>
    </row>
    <row r="120" spans="2:18" x14ac:dyDescent="0.35">
      <c r="H120" s="13">
        <v>365</v>
      </c>
      <c r="I120" s="14" cm="1">
        <f t="array" ref="I120">SUM((1-_xlfn._xlws.FILTER(1/I$20:I$117,(1/I$20:I$117)&lt;&gt;""))^($H120))</f>
        <v>1.1105448701116778E-8</v>
      </c>
      <c r="J120" s="14" cm="1">
        <f t="array" ref="J120">SUM((1-_xlfn._xlws.FILTER(1/J$20:J$117,(1/J$20:J$117)&lt;&gt;""))^($H120))</f>
        <v>3.0113559915592893</v>
      </c>
      <c r="K120" s="14" cm="1">
        <f t="array" ref="K120">SUM((1-_xlfn._xlws.FILTER(1/K$20:K$117,(1/K$20:K$117)&lt;&gt;""))^($H120))</f>
        <v>3.3201155279003234E-5</v>
      </c>
      <c r="L120" s="14" cm="1">
        <f t="array" ref="L120">SUM((1-_xlfn._xlws.FILTER(1/L$20:L$117,(1/L$20:L$117)&lt;&gt;""))^($H120))</f>
        <v>11.197676923784757</v>
      </c>
      <c r="M120" s="14" cm="1">
        <f t="array" ref="M120">SUM((1-_xlfn._xlws.FILTER(1/M$20:M$117,(1/M$20:M$117)&lt;&gt;""))^($H120))</f>
        <v>2.0912090928767838E-2</v>
      </c>
      <c r="N120" s="14" cm="1">
        <f t="array" ref="N120">SUM((1-_xlfn._xlws.FILTER(1/N$20:N$117,(1/N$20:N$117)&lt;&gt;""))^($H120))</f>
        <v>32.560188061848464</v>
      </c>
      <c r="O120" s="14" cm="1">
        <f t="array" ref="O120">SUM((1-_xlfn._xlws.FILTER(1/O$20:O$117,(1/O$20:O$117)&lt;&gt;""))^($H120))</f>
        <v>4.0070672649822203</v>
      </c>
      <c r="P120" s="14" cm="1">
        <f t="array" ref="P120">SUM((1-_xlfn._xlws.FILTER(1/P$20:P$117,(1/P$20:P$117)&lt;&gt;""))^($H120))</f>
        <v>67.638218791066876</v>
      </c>
      <c r="Q120" s="14" cm="1">
        <f t="array" ref="Q120">SUM((1-_xlfn._xlws.FILTER(1/Q$20:Q$117,(1/Q$20:Q$117)&lt;&gt;""))^($H120))</f>
        <v>60.876958331482868</v>
      </c>
      <c r="R120" s="14" cm="1">
        <f t="array" ref="R120">SUM((1-_xlfn._xlws.FILTER(1/R$20:R$117,(1/R$20:R$117)&lt;&gt;""))^($H120))</f>
        <v>92.925091763287085</v>
      </c>
    </row>
    <row r="121" spans="2:18" x14ac:dyDescent="0.35">
      <c r="H121" s="13">
        <v>1200</v>
      </c>
      <c r="I121" s="14" cm="1">
        <f t="array" ref="I121">SUM((1-_xlfn._xlws.FILTER(1/I$20:I$117,(1/I$20:I$117)&lt;&gt;""))^($H121))</f>
        <v>6.0478843059178689E-29</v>
      </c>
      <c r="J121" s="14" cm="1">
        <f t="array" ref="J121">SUM((1-_xlfn._xlws.FILTER(1/J$20:J$117,(1/J$20:J$117)&lt;&gt;""))^($H121))</f>
        <v>5.4236852913347473E-3</v>
      </c>
      <c r="K121" s="14" cm="1">
        <f t="array" ref="K121">SUM((1-_xlfn._xlws.FILTER(1/K$20:K$117,(1/K$20:K$117)&lt;&gt;""))^($H121))</f>
        <v>1.5369495351937236E-17</v>
      </c>
      <c r="L121" s="14" cm="1">
        <f t="array" ref="L121">SUM((1-_xlfn._xlws.FILTER(1/L$20:L$117,(1/L$20:L$117)&lt;&gt;""))^($H121))</f>
        <v>0.14717983907852963</v>
      </c>
      <c r="M121" s="14" cm="1">
        <f t="array" ref="M121">SUM((1-_xlfn._xlws.FILTER(1/M$20:M$117,(1/M$20:M$117)&lt;&gt;""))^($H121))</f>
        <v>1.1191131484287088E-8</v>
      </c>
      <c r="N121" s="14" cm="1">
        <f t="array" ref="N121">SUM((1-_xlfn._xlws.FILTER(1/N$20:N$117,(1/N$20:N$117)&lt;&gt;""))^($H121))</f>
        <v>3.0071050530902266</v>
      </c>
      <c r="O121" s="14" cm="1">
        <f t="array" ref="O121">SUM((1-_xlfn._xlws.FILTER(1/O$20:O$117,(1/O$20:O$117)&lt;&gt;""))^($H121))</f>
        <v>1.0888714931694571E-2</v>
      </c>
      <c r="P121" s="14" cm="1">
        <f t="array" ref="P121">SUM((1-_xlfn._xlws.FILTER(1/P$20:P$117,(1/P$20:P$117)&lt;&gt;""))^($H121))</f>
        <v>29.348074074611706</v>
      </c>
      <c r="Q121" s="14" cm="1">
        <f t="array" ref="Q121">SUM((1-_xlfn._xlws.FILTER(1/Q$20:Q$117,(1/Q$20:Q$117)&lt;&gt;""))^($H121))</f>
        <v>20.95056074787998</v>
      </c>
      <c r="R121" s="14" cm="1">
        <f t="array" ref="R121">SUM((1-_xlfn._xlws.FILTER(1/R$20:R$117,(1/R$20:R$117)&lt;&gt;""))^($H121))</f>
        <v>82.302639528883361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Catalogue</vt:lpstr>
      <vt:lpstr>Equipements</vt:lpstr>
      <vt:lpstr>Donnees</vt:lpstr>
      <vt:lpstr>Resultats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Derfence</cp:lastModifiedBy>
  <dcterms:modified xsi:type="dcterms:W3CDTF">2026-07-03T15:00:17Z</dcterms:modified>
</cp:coreProperties>
</file>